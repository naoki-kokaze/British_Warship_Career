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3EE20B30-9C01-374F-A078-FF51224B4D79}" xr6:coauthVersionLast="47" xr6:coauthVersionMax="47" xr10:uidLastSave="{00000000-0000-0000-0000-000000000000}"/>
  <bookViews>
    <workbookView xWindow="1360" yWindow="1340" windowWidth="27900" windowHeight="16700" xr2:uid="{FEB025C3-9616-0148-9967-DF45651CC076}"/>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<sst xmlns="http://schemas.openxmlformats.org/spreadsheetml/2006/main" count="113" uniqueCount="64">
  <si>
    <t>Genre</t>
    <phoneticPr fontId="1"/>
  </si>
  <si>
    <t>Prefix</t>
    <phoneticPr fontId="1"/>
  </si>
  <si>
    <t>strata_no</t>
    <phoneticPr fontId="1"/>
  </si>
  <si>
    <t>serial_no</t>
    <phoneticPr fontId="1"/>
  </si>
  <si>
    <t>CLASS</t>
    <phoneticPr fontId="1"/>
  </si>
  <si>
    <t>Name</t>
    <phoneticPr fontId="1"/>
  </si>
  <si>
    <t>ID</t>
    <phoneticPr fontId="1"/>
  </si>
  <si>
    <t>text</t>
    <phoneticPr fontId="1"/>
  </si>
  <si>
    <t>Sailing / Frigate / Sixth Rate</t>
    <phoneticPr fontId="1"/>
  </si>
  <si>
    <t>SC6</t>
    <phoneticPr fontId="1"/>
  </si>
  <si>
    <t>CORMORANT, 1805-06 batch</t>
    <phoneticPr fontId="1"/>
  </si>
  <si>
    <t>Hyacinth</t>
    <phoneticPr fontId="1"/>
  </si>
  <si>
    <t>Hyacinth John Preston, Great Yarmouth (later 24)
As built: 108ft 8in, 91 ft 1 %in x 29ft ?in x 9ft 0in. 42423!94bm. Draught 7ft 1 0in/1 Oft 6in.
Ord: 12.7.1805. K: 11.1805. L: 30.8.1806. C: 13.9-21.11.1806 at Chatham.
Commissioned 10.1806 under Cmdr John Davie, for the North Sea; sailed for South America 15.2.1808.
On 22.8.1809 under Cmdr John Carter, on South America station. Fitted at Portsmouth 5-7.1811, and
re-classed as Sixth Rate (20 guns). On 24.5.1811 under Capt. T homas Ussher; sailed for the Mediterranean
9.3.1812; her boats (with those of consorts) took 10-gun Neapolitan privateers lntrepido
and Napoleone and destroyed other vessels at Malaga 29.4.1812; operations on south coast of Spain
5.1812. In 6.1812 under Capt. ?William Hamilton, then 11.1812 Capt. John Lampen Manley (acting).
On 22.1.1813 under Capt. Alexander Renton Sharpe (-1818), in the Mediterranean to 1815, then to the
North Sea, the Channel and finally Brazil 1817; paid off 9.1818. BU at Deptford 12.1820.</t>
    <phoneticPr fontId="1"/>
  </si>
  <si>
    <t>Myrtle</t>
    <phoneticPr fontId="1"/>
  </si>
  <si>
    <t>Myrtle Richard Chapman, Bideford (later 24)
As built: 108ft 5in, 90ft 9¾in x 29ft 9½in x 9ft Din. 42868!94bm. Draught 7ft 3½in/11 ft 6in.
Ord: 19.10.1805. K: 6.1806. L: 2.10.1807. C: 1.3-23.5.1808 at Pymouth.
Commissioned 3.1808 under Cmdr Thomas Innes; sailed for Portugal 20.5.1808. Recommissioned 9.1809
under Cmdr John Smith Cowan (also acting in 7.1808). On 3.4.1811 under Capt. Clement Sneyd;
sailed for Portugal 23.11.1811; re-classed as Sixth Rate (20 guns) in 1812. On 13.6.1813 under Capt.
Henry Bourchier, for Lisbon station. On 29.11.1813 under Capt. Arthur Bingham ( - 1815); for North
Sea 1814; paid off 11.1815. At Plymouth in 1817; ordered to be repaired 5.1818, but instead BU there
6.1818.</t>
    <phoneticPr fontId="1"/>
  </si>
  <si>
    <t>Cherub</t>
    <phoneticPr fontId="1"/>
  </si>
  <si>
    <t>Cherub John King, Dover (later 26)
As built: 108ft 4in, 90ft 9½in x 29ft ?½in x 9ft 0in. 42379194bm. Draught 7ft 1 0in/11 ft 6in.
Ord: 19.11.1805. K: 1.1806. L: 27.12.1806. C: 13.1-14.6.1807 at Chatham. Commissioned 4.1807 under Cmdr George Ravenshaw, for North Sea. Sailed for the Leeward Islands
29.2.1808. In 1809 under Cmdr (Capt., 8.1811) Thomas Tucker (-1815); at capture of Martinique
2.1809; re-classed as Sixth Rate (20 guns) 8.1811; on South American station 1813-15; with Phoebe
took the 32-gun USS Essex-at Valparaiso 28.3.1814. Fitted for sea at Portsmouth 8-10.1816; recommissioned
8.1816 under Capt. William Fisher, for African station. In 10.1817 under Capt. George
Willes, still on African station. Sold to Mr Holmes (for £940) 13.1.1820.</t>
    <phoneticPr fontId="1"/>
  </si>
  <si>
    <t>BITTERN</t>
    <phoneticPr fontId="1"/>
  </si>
  <si>
    <t>Termagant</t>
    <phoneticPr fontId="1"/>
  </si>
  <si>
    <t>Termagant John Dudman, Deptford
As built: 11 Oft 2in, 90ft 8½in x 29ft 9in x 8ft 6in. 427\4bm. Draught 7ft 11 in/11 ft 1 Din.
Ord: 24.1.1795. K: 5.1795. L: 23.4.1796. C: 23.4-9.6.1796 at Deptford Dyd.
First cost: £5,524 to build, plus £2,719 fitting.
Commissioned 5.1796 under Cmdr D' Arey Preston, for the North Sea. In ?6.1796 under Cmdr David Lloyd;
took 14-gun privateer La Victoire off Spurn Point 20.12.1797. In ?3.1799 under Cmdr Richard Allen
(died 10.1799); sailed for Halifax 4.1799. In 1800 under Cmdr William Skipsey ( - 1801 ); sailed for the
Mediterranean 8.1800; took 6-gun La Capricieuse off Corsica 1.9.1800 and 2-gun privateer Le General
Holtz 4.9.1800. On 29.4.1802 under Cmdr Charles Marsh Schomberg, later under Lieut Charles Foote
(acting) and ?J. Stuart/Stewart. In 8.1803 under Cmdr George Elliott, still in Mediterranean. In 1.1804
under Cmdr Robert Pettet (-1807); to Ordinary at Chatham 4.1807. Middling Repair and fitted at
Chatham 2.1808-3.1809; recommissioned 10.1808 under Cmdr Henry Sturt (-1811 ); sailed for Halifax
3.4.1809; sailed for the Mediterranean 27.1.1810. In 11.1810 under Cmdr Richard Buck (temp.). Reclassed
?12.1811 as 20-gun Sixth Rate, under Capt. Gawen Hamilton; operations on Spanish coast
1812; took 3-gun privateer L'lntrepide 22.7.1812. In 1813 under Capt. John William Andrew, in the
Mediterranean, then in early 1814 under Capt. John Lampen Manley; in 7.1814 under Capt. George
Shaw; paid off and laid up at Chatham 1 0.1816. Sold to James Graham, Harwich at Chatham (for
£1,460) 3.2.1819.</t>
    <phoneticPr fontId="1"/>
  </si>
  <si>
    <t>Ex-FRENCH Prize (1809)</t>
    <phoneticPr fontId="1"/>
  </si>
  <si>
    <t>Ganymede</t>
    <phoneticPr fontId="1"/>
  </si>
  <si>
    <t>Ganymede (French corvette L'Hebe, built 6.1807-12.1808 at Bordeaux. L: 20.9.1808).
Dimensions &amp; tons: 126ft ?in, 105ft 51/ sin x 32ft 83/sin x 1 Oft 4in. 60117;94bm.
Men: 175. Guns: UD 20 x 9pdrs; QD 2 x 6pdrs; Fe 2 x 6pdrs + 2 x 18pdr carronades.
Taken by Loire in the Atlantic 5.1.1809.
Commissioned 9.1809 under Capt. Robert Cathcart, for the Channel Fleet; to the Mediterranean 5.1810,
returning with a large convoy 10.181 0; sailed 20.11.1810 with convoy for the West Indies, returning
8.1811 with another convoy. In 9.1811 under Capt. Robert Preston, who was court-martial led 10.1811
for alleged cruelty - acquitted but replaced as commander 10.1811 by Capt. John Brett Purvis, for
the Spanish coast and Mediterranean; in defence of Cadiz 1812; took 7-gun privateer Le Vanteur
18.8.1813; at Corfu 1814; to North American station 1.1815, returning 8.1815. In 8.1815 under Capt.
William McCulloch, for Channel service, in the Downs. In 5.1817 under Capt. Robert Spencer, for the
Mediterranean; returned home to pay off 8.1819. Hulked at Portsmouth as a convict ship 1 1.1819;
convict hulk in the Medway from 1820; at Woolwich from 1823. Capsized at Woolwich 19.3.1839
(when part of her moorings collapsed), raised and BU there 2.1840.</t>
    <phoneticPr fontId="1"/>
  </si>
  <si>
    <t>CONWAY</t>
    <phoneticPr fontId="1"/>
  </si>
  <si>
    <t>Mersey</t>
    <phoneticPr fontId="1"/>
  </si>
  <si>
    <t>Mersey William Courtney, Chester
As built: 1 08ft 6in, 90ft 1 ¼in x 30ft Sin x 9ft 0in. 45069; 94bm. Draught 9ft 0in/1 1 ft 1 Qin.
Ord: 1 8.1.1813. K: 3.1 813. L: 3.1814. C: 1 3 - 26.4.1 814 at Plymouth (for Ordinary)
First cost: £9,720 to build.
Middling Repair at Plymouth 5.18 1 8-3.12.1818 (under AO 7.4.1 818).
Commissioned 8.9.1818 under Capt. Edward Collier, for Halifax station; paid off 30.1 1 . 1 821 at Portsmouth.
Fitted for sea at Portsmouth 3-8.1 823; recommissioned 24.4.1823 under Capt. John Macpherson
Ferguson (-1 827), for South America. Recommissioned 26.12.1827 under Capt. Alexander Barclay
Branch, for Jamaica station; under Capt. George William Conway Courtenay from 5 . 1 . 1 829; paid off
and laid up 7.1831 at Portsmouth. Receiving ship there 1 834-50. BU at Portsmouth 7.1 852.</t>
    <phoneticPr fontId="1"/>
  </si>
  <si>
    <t>Towey</t>
    <phoneticPr fontId="1"/>
  </si>
  <si>
    <t>Towey Balthazar Adams, Bucklers Hard
As built: 1 08ft 2in, 90ft 0in x 30ft 7in x 9ft Oin. 44772t94bm. Draught 7ft 7in/1 2ft 5in.
Ord: 1 8.1 .1813. K: 5.1813. L: 6.5.1 814 (AO was mistakenly under the name of Fowey). C: 8.5-1 .6.1814
at Portsmouth (fo r Ordinary); 9.1814-6.12.1814 (for sea).
Commissioned 10.1814 under Capt. Hew Stewart (-1 816), for the East I ndies. I n 12.1816 u nder Capt.
William Hill (- 1 8 1 7). Laid up at Plym outh 4.1819. BU completed at Plym outh 1 1 .1 1 .1 822.</t>
    <phoneticPr fontId="1"/>
  </si>
  <si>
    <t>ATHOLL</t>
    <phoneticPr fontId="1"/>
  </si>
  <si>
    <t>Alligator</t>
    <phoneticPr fontId="1"/>
  </si>
  <si>
    <t>Alligator East India Co., Cochin. Teak-built.
As built: 113ft Bin, 94ft 8%in x 31 ft 1 Din oa (31ft 6in for tonnage) x 9ft Din. 49986194 bm.
Ord: 5.6.1819. K: 11 .1819. L: 29.3.1821. Arrived Woolwich 11.10.1821. C: 4.1 822-3.9.1822 (for sea).
First cost: £10,999 (including £929.8.5½d worth of stores supplied by Crown), plus £8,955 fitting at
Woolwich.
Commissioned ?5.1821 at Cochin under Lieut James Wilkie, for voyage to UK; arrived Portsmouth
5.10.1821 and then to Woolwich 11.10.1821. Recommissioned 16.5.1822 at Woolwich under Capt.
Thomas Alexander (died 11.11.1825), for the East Indies; Burma War 1825-26; in 11.1825 (acting)
27.4.1826 (confirmed) under Capt. Henry Ducie Chads, for the East Indies; paid off 3.1.1 827. Recommissioned 3.1827 under Capt. W. P. Canning (died 24.9.1828 at Madeira), for Halifax; returned home
1.1828 for Plymouth-based home service; in 9.1828 under Lieut Julius James Farmer Newell; paid off
20.11.1828. Recommissioned 20.11.1828 under Capt. Charles Philip Yorke, for the Mediterranean; returned
Portsmouth to pay off 9.1831. Recommissioned 3.9.1831 under Capt. George Robert Lambert,
for the East Indies; paid off 27.8.1835. Recommissioned 12.7.1837 under Capt. James John Gordon
Bremer, for Australia; visited New Holland and founded the settlement at Port Essington; during 1840
under Acting Capt. Patrick John Blake, for 1 st Anglo-Chinese War; on 5.3.1840 under Acting Capt.
Augustus Leopold Kuper then (?) Cmdr Samuel Perkins Pritchard, still in East Indies during 1 st AngloChinese
War. Depot ship at Trincomalee 6.1841. Recommissioned 31.1.1842 under Richard Browne,
Master, as troopship; on 27.11.1843 under Joseph King, Master, in same role. Hulked as seamen's
hospital at Hong Kong 12.1846. Sold there to Ton Ping (for $HK 5,000) 30.10.1865.</t>
    <phoneticPr fontId="1"/>
  </si>
  <si>
    <t>Samarang</t>
    <phoneticPr fontId="1"/>
  </si>
  <si>
    <t>Samarang East India Co.,Cochin. Teak-built.
As built: 113ft Bin, 94ft 8¾in x 31 ft 1 0in oa (31ft 6in for tonnage) x 9ft Oin. 49991;94 bm.
Ord: 5.6.1819. K: 3.1821. L: 1.1.1822. C: 2.1824-7 .6.1824 at Portsmouth (for sea).
First cost: £10,999 (including £953.13.2½d worth of stores supplied by Crown), plus £8,588 fitting
Portsmouth.
Commissioned 1.1.1822 at Cochin under Cmdr John Norman Campbell, for voyage to UK; arrived
Portsmouth 12.7.1822 and paid off that month into Ordinary. Recommissioned 4.2.1824 under Capt.
Sir William Saltonstall Wiseman., for Hal
fax. On 28.11.1824 under Capt. David Dunn, for the Cape
of Good Hope. On 15.11.1826 under Capt. William Fanshawe Martin, for the Mediterranean; fitted
for sea at Woolwich (for £7,348) 4-8.1828; fitted for sea at Portsmouth 4.1831, then paid off 6.1831.
Recommissioned 3.6.1831 under Capt. Charles Henry Paget, for South America; paid off 1 .1835.
Recommissioned 25.10.1836 under Capt. William Broughton, for the coast of Spain (during the Carlist
disputes), then to South America. On 31 October 1839 under Capt. James Scott for South America;
later to East Indies; in 1 st Anglo-Chinese War; Chuenpea Forts 1841 ; returned home 8.1841 and paid
off into Ordinary. Refitted at Portsmouth (for £9,289) 12.1841-1.1843. Recommissioned 18.11.1842
under Capt. Sir Edward Belcher, for the East Indies; action against Malay pirates 3 - 4.6.1844; paid off
18.1.1847 at Sheerness. Fitted at Chatham (for £2,411) as guard ship for Gibraltar 1-5.1847, then in
that role to 1880. Sold at Gibraltar (for £67 4) 10.1883.</t>
    <phoneticPr fontId="1"/>
  </si>
  <si>
    <t>Success</t>
    <phoneticPr fontId="1"/>
  </si>
  <si>
    <t>Success Pembroke Dyd
As built: 113ft 8in, 94ft 7¾in x 31 ft 11 %in oa (31ft ?%in for tonnage) x 8ft 9in. 50378194bm. Draught 9ft
4in/12ft 1 in.
Ord: 5.6.1819. K: 7.1823. L: 30.8.1825. Sailed 14.9.1825 for Plymouth. C: 16.9.1825-3.6.1826 at Plymouth.
First cost: £14,310 to build, + £9,594 fitting for sea.
Commissioned 25.1.1826 under Capt. James Stirling, for the East Indies and Australia; established settlement
at Raffles Bay in Torres Strait; paid off 1.1828. Recommissioned 21.2.1828 under Capt. John
Fitzgerald Studdert, for the East Indies. On 6.8.1828 under Capt. William Clarke Jervoise; paid off
11.1831. Fitted as receiving ship at Portsmouth 1 - 4.1833. BU there 6.1849.</t>
    <phoneticPr fontId="1"/>
  </si>
  <si>
    <t>Conway</t>
    <phoneticPr fontId="1"/>
  </si>
  <si>
    <t>Conway Chatham Dyd
As built: 125ft 4in, 105ft 9%in x 34ft 5½in (34ft 0½in for tonnage) x 1 Oft 0½in. 65215J94bm. Draught 1 Oft
11 in/13ft 9in.
Ord: 9.6.1825. K: 12.1829. L: 2.2.1832. C: 11.5.1832 (for sea).
Commissioned 17.2.1832 under Capt. Henry Eden, for North Sea, later to Lisbon and then to South America;
paid off 10.1835. Lent as training ship to Mercantile Marine Association of Liverpool 2.1859; to
Aberdeen RNR 28.8.1861, renamed Winchester. BU at Sheerness 6.1871.</t>
    <phoneticPr fontId="1"/>
  </si>
  <si>
    <t>Cut down from Frigate</t>
    <phoneticPr fontId="1"/>
  </si>
  <si>
    <t>Semiramis</t>
    <phoneticPr fontId="1"/>
  </si>
  <si>
    <t>Semiramis (L: 1808) Cut down 4-6.1828 at Plymouth into a 24-gun Sixth Rate.
Recommissioned 27.5.1828 under Capt. Maurice Frederick Fitzhardinge Berkeley, as flagship of Vice-Adm.
Sir Charles Paget, at Cork; paid off 6.1831 and laid up at Portsmouth 9.1831. At Sheerness in 1834.
Depot ship at Plymouth 1832. BU there 11.1844.</t>
    <phoneticPr fontId="1"/>
  </si>
  <si>
    <t>ANDROMACHE</t>
    <phoneticPr fontId="1"/>
  </si>
  <si>
    <t>Calliope</t>
    <phoneticPr fontId="1"/>
  </si>
  <si>
    <t>Calliope Sheerness Dyd
As built: 130ft 2in, 109ft 3in x 35ft 5½in oa (35ft 2½in for tonnage) x 1 Oft 7in. 72034/94bm.
Ord: 29.10.1830. K: 1.183 1 . L: 5.10.1837.
First cost: £5,741 (cost until abolition of Navy Board), plus £12,141 completion and fitting for sea.
Commissioned 10.11.1837 under Capt. Thomas Herbert, for the Nore; to South America 1838-39, then
Pacific 1840-42; operations in 1 st Anglo-Chinese War 1841-42; Chuenpee Forts action 7.1.1841, then
Canton River operations. On 14.6.1841 under Capt. Augustus Leopold Kuper; Yangtze operations
7.1842; home and paid off 3.1843 at Plymouth. Very small repair and fitted for sea there (for £8,197)
2.1845-8.1848; recommissioned 18.7.1845 under Capt. Edward Stanley, for the East Indies; New Zealand
War 1845; Ruapekapeki stockade 11.1.1846; home and paid off 1.1849. Between Small and Middling
Repair at Plymouth (for £3,287) 6-9.1849. Recommissioned 28.11.1850 under Capt. Sir James
Everard Home, for the Australian station; fitted for sea at Plymouth (for £3,047) 11.1850-3.1851; on
2.11.1853 under Capt. John Gennys, then 20.1.1854 under Capt. John Coghlan Fitzgerald; home and
paid off 6.1855. Fitted as floating chapel at Plymouth 1855 (or later); fitted as a factory ship (floating
workshop) between 1861 and 1865. BU completed there 1.11.1883.</t>
    <phoneticPr fontId="1"/>
  </si>
  <si>
    <t>Andromache</t>
    <phoneticPr fontId="1"/>
  </si>
  <si>
    <t>Andromache Pembroke Dyd
As built: 130ft 0in, 108ft 8¾in x 35ft 6¾in oa (35ft 2¾in for tonnage) x 1 Oft 6½in. 71773;94bm. Draught 11 ft
5in/13ft ?in.
Ord: 29.10.1830. K: 8.1831. L: 27.8.1832. C: 11.10.1833-7.2.1834 at Plymouth.
First cost: £14,845 (+ fitting £7,759).
Commissioned 19.9.1833 under Capt. Bernard Yeoman, at Plymouth. On 2.1.1834 under Capt. Hugh Ducie
Chads, for the East Indies; forcing of the Boca Tigris (China) in 9.1834; home and paid off 9.1837. Recommissioned
2.2.1838 under Capt. Robert Lambert Baynes, for North America; to West Indies 1839;
at Portsmouth 1840; to Cape of Good Hope 1841-42; paid off 3.1843. Fitted at Plymouth as Provision
depot ('frigate-depot') 9-11.1846, with 2 guns and 72 men; recommissioned 13.10.1846 under
T homas Johnson, Master, based on Galway to convey food and stores to Ireland for famine relief; paid
off 9.1848 and laid up at Devonport. Fitted as powder depot 8-9.1854, then based at Milford. BU at
Devon port (by AO 23.5.1871) completed 3.3.1875.</t>
    <phoneticPr fontId="1"/>
  </si>
  <si>
    <t>SPARTAN</t>
    <phoneticPr fontId="1"/>
  </si>
  <si>
    <t>Creole</t>
    <phoneticPr fontId="1"/>
  </si>
  <si>
    <t>Creole* Dev onp ort Dyd
As built: 1 30ft 1 1 in, 107ft 0in x 40ft 7¼in oa (40ft 3¼in for tonnage) x 1 Oft 8½in. 923\4bm. Draught 9ft
1 0in/1 5ft 7in (with 1 2 tons on board).
Ord: 20.2.1837. K: 4.1842. L: 1.10.1845. C: 14.10.1845 (for Ordinary).
First cost: £20,544 (including fitting for Ordinary).
Not commissioned. Partially fitted as an Advanced ship (for £4,572) 10-12.1856. Lent to Cork Industrial
Training Ship Organisation by AO 10.2.1870. BU at Devonport (by AO 22.11.1873) completed
6.3.1875.</t>
    <phoneticPr fontId="1"/>
  </si>
  <si>
    <t>EURYDICE</t>
    <phoneticPr fontId="1"/>
  </si>
  <si>
    <t>Eurydice</t>
    <phoneticPr fontId="1"/>
  </si>
  <si>
    <t>Eurydice Portsmouth Dyd
As built: 141 ft 3in, 117ft 1 0¾in x 38ft 1 0in oa (38ft 4in for tonnage) x 8ft 9in. 92146;94bm. Draught 1 Oft
7in/13ft ?in.
Ord: 27.8.1841. K: 4.1842. L: 16.5.1843. C: 1.9.1843 (for sea)
First cost: £16,137 to build, plus £9,312 fitting.
Commissioned 27.6.1843 (appointed 7 .6) under Capt. George Augustus Elliot (eldest son of the ship's
designer), for North America and the West Indies. Recommissioned 30.5.1846, still under Capt. Elliot;
from 12.10.1846 under Capt. Talavera Vernon Anson, for the Cape of Good Hope; paid off 1850. Small
Repair at Portsmouth (for £2,917) 12.1850-1 .1852. Recommissioned 4.4.1854 under Capt. Erasmus
Ommanney; fitted for sea (for 7,057 including making good defects later in 1854) 4 - 5.1854; to the
White Sea during the Russian Way, then 11.1854 to North America and the West Indies. On 3.1.1855
under Capt. John Walter Tarleton, on same station; paid off 12.6.1857 at Chatham. Fitted at Portsmouth
as a harbour training ship for cadets 6.1861. Reconstructed and refitted as a training vessel
(4 guns) at Portsmouth from 3.1875, then 3.1876 at John White, Cowes (for £11,289) to 31.1.1877.
Recommissioned 7.2.1877 under Capt. Marcus Augustus Stanley Hare, as seagoing training ship for
Ordinary seamen; foundered in a squall off the Isle of Wight 24.3.1878 (only 5 were picked up out
of 368 men aboard, and 3 of these died of exposure); wreck salvaged 1.9.1878 and towed to Portsmouth,
and BU (by AO 11.9.1878) completed 11.10.1878 there.</t>
    <phoneticPr fontId="1"/>
  </si>
  <si>
    <t>DAUNTLESS</t>
    <phoneticPr fontId="1"/>
  </si>
  <si>
    <t>Dauntless</t>
    <phoneticPr fontId="1"/>
  </si>
  <si>
    <t>Dauntless Portsmouth Dyd/Robert Napier &amp; Sons
As built: 21 Oft 0in, 182ft ?¾in x 39ft 9in oa (39ft 3in for tonnage) x 26ft 0in. 1 ,49660;94bm. 2,242 disp.
Draught 8ft Oin/1 Oft 3in (with 30 tons ballast aboard).
As lengthened 1 850: 219ft 6in, 1 92ft 1 ¾in x 39ft 9in (39ft 3in for tonnage) x 26ft 0in. 1 ,57 480; 94bm. 2,457
disp.
Ord: 12.2.1845. K: 4.1845. L: 5.1.1847. Fitted engines at Glasgow 4.1847-8.1848. C: 16.10.1850.
First cost: £96,441 (including hull £42,365, machinery £41,032).
Commissioned 7.8.1850 under Capt. Edward Pellew Halstead, for the Experimental Squadron, then
1852 to North America and the West Indies; paid off 19.5.1853 at Portsmouth. Recommissioned
28.12.1 853 under Capt. Alfred Phillipps Ryder, for the Baltic and the Black Sea during the Russian
War; in 2.1855 in action against Russian attacks on Eupatoria; bombardment of Sevastopol
4.1855; bombardment of Kin burn 10.1 855; then to the Mediterranean; paid off 13.3.1857 at Portsmouth. Recommissioned 10.6.1859 under Capt. William Edmonstone; on 12.8.1859 under
Capt. John Borlase, then 23.8.1859 under Capt. Leopold George Heath, as guard ship in Southampton
Water (or Newhaven?); on 1.1.1861 under Capt. James Willcox, then 1 3.6.1862 Capt.
Sherard Osborn and 14.7.1862 Capt. John Bourmaster Dickson, in same role. On 1.4.1864 under
Capt. James Newburgh Strange, as guard ship at Hull; on 30.9.1865 under Capt. Edward Pelham
Brenton Von Donop, then 19.11.1868 Capt. Charles Codrington Forsyth, in same role; paid off
31.12.1869. On 1.1.870 tender to Humber coastguard ship Wyvern at Hull; laid up at Plymouth
1878. Sold 1.5.1885.</t>
    <phoneticPr fontId="1"/>
  </si>
  <si>
    <t>PEARL</t>
    <phoneticPr fontId="1"/>
  </si>
  <si>
    <t>Satellite</t>
    <phoneticPr fontId="1"/>
  </si>
  <si>
    <t>Satellite Devenport Dyd/John Penn &amp; Son (1,214ihp = 10.55kts)
Tonnage as completed: 1,462bm. 2,138 disp. Draught 16ft Bin (fwd), 19ft 6in (aft).
Ord: 2.4.1853. (named 18.11.1853) K: 8.7.1854. L: 26.9.1855. C: 23.12.1856.
First cost: £74,185, including £32,535 for hull and £26,329 for machinery.
Commissioned 30.9.1856 under Capt. James Charles Prevost, for the Pacific; paid off 26.1 .1861. Recommissioned
27.11.1861 under Capt. John Ormsby Johnson, for east coast South America; on 5.5.1862
under Capt. Stephen Smith Lowther Crofton (Johnson invalided), on same station; paid off 22.9.1865
at Plymouth. Recommissioned 27.10.1866 under Capt. Richard Purvis; on 14.11.1866 under Capt.
Joseph Edye, for China (died 13.9.1868); on 11.11.1868 under Capt. William Henry Edye, on China
station, then home with the 1869 Flying Squadron; paid off 1.12.1870 at Plymouth. BU completed
25.12.1879 at Devon port.</t>
    <phoneticPr fontId="1"/>
  </si>
  <si>
    <t>Cadmus</t>
    <phoneticPr fontId="1"/>
  </si>
  <si>
    <t>Cadmus Chatham Dyd/John Penn &amp; Son (1,526ihp = 11.825kts)
Tonnage as completed: 1,461 bm. 2,216 disp. Draught 16ft 11 in (fwd), 20ft 1 in (aft).
Ord: 2.4.1853. (named 3.4.1854) K: 10.5.1855. L: 20.5.1856. C: 4.6.1859.
First cost: £70,171, including £33,409 for hull and £26,777 for machinery.
Commissioned 11.5.1859 under Capt. Henry Shank Hillyar, for North America and the West Indies (-
7.1862). On 24.11.1862 under Capt. John Francis Ross, in same role; paid off 6.5.1863 at Chatham.
Recommissioned 15.12.1864 under Capt. Alexander Crombie Gordon, for same station; paid off
28.5.1868 at Chatham. Recommissioned 15.4.1869 at Sheerness under Capt. Robert Gibson, for the
Flying Squadron; damaged by grounding on Salcombe Rocks 4.6.1869 and returned to Sheerness to
pay off 8.6.1869 (replaced in Flying Squadron by Barrasa). Recommissioned 1.12.1870 at Plymouth
under Capt. William Henry Whyte; to Detached Squadron 1871; to China 4.1872; paid off 26.11.1874.
BU 9.1879 at Deptford.</t>
    <phoneticPr fontId="1"/>
  </si>
  <si>
    <t>Clio</t>
    <phoneticPr fontId="1"/>
  </si>
  <si>
    <t>Clio Sheerness Dyd/Miller , Ravenhill &amp; Salkeld (1,540ihp = 11.202kts)
Tonnage as completed: 1,458bm. 2,153 disp. Draught 17ft 6in (fwd), 18ft 1 Oin (aft).
Ord: 31.3.1855. K: 25.6.1856. L: 26.8.1858. C: 18.9.1859.
First cost: £81,651, including £42,972 for hull and £24,268 for machinery.
Commissioned 23.6.1859 at Sheerness under Capt. Thomas Miller, for the Pacific; paid off 29.8.1863 at
Sheerness. Recommissioned 6.7.1864 under Commodore Frederick Henry Stirling, for Australia;
paid off 21.1.1874 at Sheerness. Recommissioned 22.3.1870 under Capt. Nicolas Edward Brook
Tumour, for the Pacific; paid off 18.7.1868 at Sheerness. Reduced to 18 guns (2 x 64pdrs on pivots,
16 x 64pdrs on broadsides). Recommissioned 22.3.1870 under Capt. Frederick Henry Stirling, for
Australia, of which station she was flagship from 3.9.1870 to 1 6.10.1873; holed in Bligh Sound 1871
and beached to avoid sinking, then salved and repaired; sailed 16.10.1873 for Portsmouth and paid
off 187 4. Training ship 1876 for Landegfan, in the Menai Strait. Lent as a training ship for Boys to the
North Wales Association, Bangor 1890. Sold on 3.10.1919 and SU at Bangor.</t>
    <phoneticPr fontId="1"/>
  </si>
  <si>
    <t>AETNA</t>
    <phoneticPr fontId="1"/>
  </si>
  <si>
    <t>Thunder</t>
    <phoneticPr fontId="1"/>
  </si>
  <si>
    <t>Thunder C. J. Mare &amp; Co., Limehouse/Miller, Ravenhill &amp; Co.
Ord: 4.10.1854. K: 9.10.1854. L: 17.4.1855. C: 21.7.1855.
Commissioned 9.12.1855 under Capt. George Granville Randolph; paid off 8.5.1856 at Sheerness. Remained
at Sheerness in reserve; by 1870 at Chatham. BU at Chatham 6.187 4.</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</si>
</sst>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C741D-38EE-2E4D-A0C0-ED8462224DDA}">
  <dimension ref="A1:H22"/>
  <sheetViews>
    <sheetView tabSelected="1" workbookViewId="0">
      <selection activeCell="G2" sqref="G2"/>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231">
      <c r="A2" t="s">
        <v>8</v>
      </c>
      <c r="B2" t="s">
        <v>9</v>
      </c>
      <c r="C2">
        <v>1</v>
      </c>
      <c r="D2">
        <v>9</v>
      </c>
      <c r="E2" t="s">
        <v>10</v>
      </c>
      <c r="F2" t="s">
        <v>11</v>
      </c>
      <c r="G2" t="str">
        <f t="shared" ref="G2:G22" si="0">_xlfn.CONCAT("myData:", B2, "_", TEXT(D2, "0000"))</f>
        <v>myData:SC6_0009</v>
      </c>
      <c r="H2" s="1" t="s">
        <v>12</v>
      </c>
    </row>
    <row r="3" spans="1:8" ht="189">
      <c r="A3" t="s">
        <v>8</v>
      </c>
      <c r="B3" t="s">
        <v>9</v>
      </c>
      <c r="C3">
        <v>2</v>
      </c>
      <c r="D3">
        <v>15</v>
      </c>
      <c r="E3" t="s">
        <v>10</v>
      </c>
      <c r="F3" t="s">
        <v>13</v>
      </c>
      <c r="G3" t="str">
        <f t="shared" si="0"/>
        <v>myData:SC6_0015</v>
      </c>
      <c r="H3" s="1" t="s">
        <v>14</v>
      </c>
    </row>
    <row r="4" spans="1:8" ht="189">
      <c r="A4" t="s">
        <v>8</v>
      </c>
      <c r="B4" t="s">
        <v>9</v>
      </c>
      <c r="C4">
        <v>3</v>
      </c>
      <c r="D4">
        <v>17</v>
      </c>
      <c r="E4" t="s">
        <v>10</v>
      </c>
      <c r="F4" t="s">
        <v>15</v>
      </c>
      <c r="G4" t="str">
        <f t="shared" si="0"/>
        <v>myData:SC6_0017</v>
      </c>
      <c r="H4" s="1" t="s">
        <v>16</v>
      </c>
    </row>
    <row r="5" spans="1:8" ht="378">
      <c r="A5" t="s">
        <v>8</v>
      </c>
      <c r="B5" t="s">
        <v>9</v>
      </c>
      <c r="C5">
        <v>4</v>
      </c>
      <c r="D5">
        <v>28</v>
      </c>
      <c r="E5" t="s">
        <v>17</v>
      </c>
      <c r="F5" t="s">
        <v>18</v>
      </c>
      <c r="G5" t="str">
        <f t="shared" si="0"/>
        <v>myData:SC6_0028</v>
      </c>
      <c r="H5" s="1" t="s">
        <v>19</v>
      </c>
    </row>
    <row r="6" spans="1:8" ht="294">
      <c r="A6" t="s">
        <v>8</v>
      </c>
      <c r="B6" t="s">
        <v>9</v>
      </c>
      <c r="C6">
        <v>5</v>
      </c>
      <c r="D6">
        <v>36</v>
      </c>
      <c r="E6" t="s">
        <v>20</v>
      </c>
      <c r="F6" t="s">
        <v>21</v>
      </c>
      <c r="G6" t="str">
        <f t="shared" si="0"/>
        <v>myData:SC6_0036</v>
      </c>
      <c r="H6" s="1" t="s">
        <v>22</v>
      </c>
    </row>
    <row r="7" spans="1:8" ht="210">
      <c r="A7" t="s">
        <v>8</v>
      </c>
      <c r="B7" t="s">
        <v>9</v>
      </c>
      <c r="C7">
        <v>6</v>
      </c>
      <c r="D7">
        <v>37</v>
      </c>
      <c r="E7" t="s">
        <v>23</v>
      </c>
      <c r="F7" t="s">
        <v>24</v>
      </c>
      <c r="G7" t="str">
        <f t="shared" si="0"/>
        <v>myData:SC6_0037</v>
      </c>
      <c r="H7" s="1" t="s">
        <v>25</v>
      </c>
    </row>
    <row r="8" spans="1:8" ht="126">
      <c r="A8" t="s">
        <v>8</v>
      </c>
      <c r="B8" t="s">
        <v>9</v>
      </c>
      <c r="C8">
        <v>7</v>
      </c>
      <c r="D8">
        <v>42</v>
      </c>
      <c r="E8" t="s">
        <v>23</v>
      </c>
      <c r="F8" t="s">
        <v>26</v>
      </c>
      <c r="G8" t="str">
        <f t="shared" si="0"/>
        <v>myData:SC6_0042</v>
      </c>
      <c r="H8" s="1" t="s">
        <v>27</v>
      </c>
    </row>
    <row r="9" spans="1:8" ht="409.6">
      <c r="A9" t="s">
        <v>8</v>
      </c>
      <c r="B9" t="s">
        <v>9</v>
      </c>
      <c r="C9">
        <v>8</v>
      </c>
      <c r="D9">
        <v>55</v>
      </c>
      <c r="E9" t="s">
        <v>28</v>
      </c>
      <c r="F9" t="s">
        <v>29</v>
      </c>
      <c r="G9" t="str">
        <f t="shared" si="0"/>
        <v>myData:SC6_0055</v>
      </c>
      <c r="H9" s="1" t="s">
        <v>30</v>
      </c>
    </row>
    <row r="10" spans="1:8" ht="399">
      <c r="A10" t="s">
        <v>8</v>
      </c>
      <c r="B10" t="s">
        <v>9</v>
      </c>
      <c r="C10">
        <v>9</v>
      </c>
      <c r="D10">
        <v>57</v>
      </c>
      <c r="E10" t="s">
        <v>28</v>
      </c>
      <c r="F10" t="s">
        <v>31</v>
      </c>
      <c r="G10" t="str">
        <f t="shared" si="0"/>
        <v>myData:SC6_0057</v>
      </c>
      <c r="H10" s="1" t="s">
        <v>32</v>
      </c>
    </row>
    <row r="11" spans="1:8" ht="189">
      <c r="A11" t="s">
        <v>8</v>
      </c>
      <c r="B11" t="s">
        <v>9</v>
      </c>
      <c r="C11">
        <v>10</v>
      </c>
      <c r="D11">
        <v>59</v>
      </c>
      <c r="E11" t="s">
        <v>28</v>
      </c>
      <c r="F11" t="s">
        <v>33</v>
      </c>
      <c r="G11" t="str">
        <f t="shared" si="0"/>
        <v>myData:SC6_0059</v>
      </c>
      <c r="H11" s="1" t="s">
        <v>34</v>
      </c>
    </row>
    <row r="12" spans="1:8" ht="147">
      <c r="A12" t="s">
        <v>8</v>
      </c>
      <c r="B12" t="s">
        <v>9</v>
      </c>
      <c r="C12">
        <v>11</v>
      </c>
      <c r="D12">
        <v>64</v>
      </c>
      <c r="E12" t="s">
        <v>23</v>
      </c>
      <c r="F12" t="s">
        <v>35</v>
      </c>
      <c r="G12" t="str">
        <f t="shared" si="0"/>
        <v>myData:SC6_0064</v>
      </c>
      <c r="H12" s="1" t="s">
        <v>36</v>
      </c>
    </row>
    <row r="13" spans="1:8" ht="84">
      <c r="A13" t="s">
        <v>8</v>
      </c>
      <c r="B13" t="s">
        <v>9</v>
      </c>
      <c r="C13">
        <v>12</v>
      </c>
      <c r="D13">
        <v>68</v>
      </c>
      <c r="E13" t="s">
        <v>37</v>
      </c>
      <c r="F13" t="s">
        <v>38</v>
      </c>
      <c r="G13" t="str">
        <f t="shared" si="0"/>
        <v>myData:SC6_0068</v>
      </c>
      <c r="H13" s="1" t="s">
        <v>39</v>
      </c>
    </row>
    <row r="14" spans="1:8" ht="315">
      <c r="A14" t="s">
        <v>8</v>
      </c>
      <c r="B14" t="s">
        <v>9</v>
      </c>
      <c r="C14">
        <v>13</v>
      </c>
      <c r="D14">
        <v>69</v>
      </c>
      <c r="E14" t="s">
        <v>40</v>
      </c>
      <c r="F14" t="s">
        <v>41</v>
      </c>
      <c r="G14" t="str">
        <f t="shared" si="0"/>
        <v>myData:SC6_0069</v>
      </c>
      <c r="H14" s="1" t="s">
        <v>42</v>
      </c>
    </row>
    <row r="15" spans="1:8" ht="294">
      <c r="A15" t="s">
        <v>8</v>
      </c>
      <c r="B15" t="s">
        <v>9</v>
      </c>
      <c r="C15">
        <v>14</v>
      </c>
      <c r="D15">
        <v>70</v>
      </c>
      <c r="E15" t="s">
        <v>40</v>
      </c>
      <c r="F15" t="s">
        <v>43</v>
      </c>
      <c r="G15" t="str">
        <f t="shared" si="0"/>
        <v>myData:SC6_0070</v>
      </c>
      <c r="H15" s="1" t="s">
        <v>44</v>
      </c>
    </row>
    <row r="16" spans="1:8" ht="168">
      <c r="A16" t="s">
        <v>8</v>
      </c>
      <c r="B16" t="s">
        <v>9</v>
      </c>
      <c r="C16">
        <v>15</v>
      </c>
      <c r="D16">
        <v>81</v>
      </c>
      <c r="E16" t="s">
        <v>45</v>
      </c>
      <c r="F16" t="s">
        <v>46</v>
      </c>
      <c r="G16" t="str">
        <f t="shared" si="0"/>
        <v>myData:SC6_0081</v>
      </c>
      <c r="H16" s="1" t="s">
        <v>47</v>
      </c>
    </row>
    <row r="17" spans="1:8" ht="378">
      <c r="A17" t="s">
        <v>8</v>
      </c>
      <c r="B17" t="s">
        <v>9</v>
      </c>
      <c r="C17">
        <v>16</v>
      </c>
      <c r="D17">
        <v>84</v>
      </c>
      <c r="E17" t="s">
        <v>48</v>
      </c>
      <c r="F17" t="s">
        <v>49</v>
      </c>
      <c r="G17" t="str">
        <f t="shared" si="0"/>
        <v>myData:SC6_0084</v>
      </c>
      <c r="H17" s="1" t="s">
        <v>50</v>
      </c>
    </row>
    <row r="18" spans="1:8" ht="409.6">
      <c r="A18" t="s">
        <v>8</v>
      </c>
      <c r="B18" t="s">
        <v>9</v>
      </c>
      <c r="C18">
        <v>17</v>
      </c>
      <c r="D18">
        <v>93</v>
      </c>
      <c r="E18" t="s">
        <v>51</v>
      </c>
      <c r="F18" t="s">
        <v>52</v>
      </c>
      <c r="G18" t="str">
        <f t="shared" si="0"/>
        <v>myData:SC6_0093</v>
      </c>
      <c r="H18" s="1" t="s">
        <v>53</v>
      </c>
    </row>
    <row r="19" spans="1:8" ht="252">
      <c r="A19" t="s">
        <v>8</v>
      </c>
      <c r="B19" t="s">
        <v>9</v>
      </c>
      <c r="C19">
        <v>18</v>
      </c>
      <c r="D19">
        <v>102</v>
      </c>
      <c r="E19" t="s">
        <v>54</v>
      </c>
      <c r="F19" t="s">
        <v>55</v>
      </c>
      <c r="G19" t="str">
        <f t="shared" si="0"/>
        <v>myData:SC6_0102</v>
      </c>
      <c r="H19" s="1" t="s">
        <v>56</v>
      </c>
    </row>
    <row r="20" spans="1:8" ht="252">
      <c r="A20" t="s">
        <v>8</v>
      </c>
      <c r="B20" t="s">
        <v>9</v>
      </c>
      <c r="C20">
        <v>19</v>
      </c>
      <c r="D20">
        <v>103</v>
      </c>
      <c r="E20" t="s">
        <v>54</v>
      </c>
      <c r="F20" t="s">
        <v>57</v>
      </c>
      <c r="G20" t="str">
        <f t="shared" si="0"/>
        <v>myData:SC6_0103</v>
      </c>
      <c r="H20" s="1" t="s">
        <v>58</v>
      </c>
    </row>
    <row r="21" spans="1:8" ht="273">
      <c r="A21" t="s">
        <v>8</v>
      </c>
      <c r="B21" t="s">
        <v>9</v>
      </c>
      <c r="C21">
        <v>20</v>
      </c>
      <c r="D21">
        <v>110</v>
      </c>
      <c r="E21" t="s">
        <v>54</v>
      </c>
      <c r="F21" t="s">
        <v>59</v>
      </c>
      <c r="G21" t="str">
        <f t="shared" si="0"/>
        <v>myData:SC6_0110</v>
      </c>
      <c r="H21" s="1" t="s">
        <v>60</v>
      </c>
    </row>
    <row r="22" spans="1:8" ht="84">
      <c r="A22" t="s">
        <v>8</v>
      </c>
      <c r="B22" t="s">
        <v>9</v>
      </c>
      <c r="C22">
        <v>21</v>
      </c>
      <c r="D22">
        <v>118</v>
      </c>
      <c r="E22" t="s">
        <v>61</v>
      </c>
      <c r="F22" t="s">
        <v>62</v>
      </c>
      <c r="G22" t="str">
        <f t="shared" si="0"/>
        <v>myData:SC6_0118</v>
      </c>
      <c r="H22" s="1" t="s">
        <v>63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2025-11-08T05:56:10Z</dcterms:created>
  <dcterms:modified xsi:type="dcterms:W3CDTF">2025-11-08T05:57:46Z</dcterms:modified>
</cp:coreProperties>
</file>
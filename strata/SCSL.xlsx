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naoki_kokaze/Library/CloudStorage/Dropbox/Digital_Humanities/2025年度/じんもんこん/軍艦キャリア/Strata/"/>
    </mc:Choice>
  </mc:AlternateContent>
  <xr:revisionPtr revIDLastSave="0" documentId="13_ncr:1_{27A825B0-8C5D-B84D-AEED-42E1E3867CD2}" xr6:coauthVersionLast="47" xr6:coauthVersionMax="47" xr10:uidLastSave="{00000000-0000-0000-0000-000000000000}"/>
  <bookViews>
    <workbookView xWindow="21040" yWindow="6440" windowWidth="27500" windowHeight="16360" xr2:uid="{E58132E8-B6E9-0B46-8F1C-2FDA7005A54B}"/>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G7" i="1"/>
  <c r="G6" i="1"/>
  <c r="G5" i="1"/>
  <c r="G4" i="1"/>
  <c r="G3" i="1"/>
  <c r="G2" i="1"/>
</calcChain>
</file>

<file path=xl/sharedStrings.xml><?xml version="1.0" encoding="utf-8"?>
<sst xmlns="http://schemas.openxmlformats.org/spreadsheetml/2006/main" count="43" uniqueCount="29">
  <si>
    <t>Genre</t>
    <phoneticPr fontId="1"/>
  </si>
  <si>
    <t>Prefix</t>
    <phoneticPr fontId="1"/>
  </si>
  <si>
    <t>strata_no</t>
    <phoneticPr fontId="1"/>
  </si>
  <si>
    <t>serial_no</t>
    <phoneticPr fontId="1"/>
  </si>
  <si>
    <t>CLASS</t>
    <phoneticPr fontId="1"/>
  </si>
  <si>
    <t>Name</t>
    <phoneticPr fontId="1"/>
  </si>
  <si>
    <t>ID</t>
    <phoneticPr fontId="1"/>
  </si>
  <si>
    <t>text</t>
    <phoneticPr fontId="1"/>
  </si>
  <si>
    <t>Screw / Sloop</t>
    <phoneticPr fontId="1"/>
  </si>
  <si>
    <t>SCSL</t>
    <phoneticPr fontId="1"/>
  </si>
  <si>
    <t>NIGER</t>
    <phoneticPr fontId="1"/>
  </si>
  <si>
    <t>Niger</t>
    <phoneticPr fontId="1"/>
  </si>
  <si>
    <t>Niger Woolwich Dyd/Maudslay, Sons &amp; Field.
Ord: 20.2.1845. K: 5.1845. L: 18.11.1846. Lengthened at Deptford Dyd before completion. C: 16.8.1850.
First cost: £57,597 (including hull £14,830, machinery £21,057).
Commissioned 9.7.1850 at Portsmouth under Cmdr Leopold George Heath, for the west coast of Africa,
then at end 1852 to the Mediterranean, and in 1854 to the Black Sea (during the Russian War). On
2.2.1855 under Cmdr Henry William Hire, in the Black and Mediterranean Seas; paid off 31.1.1856
at Woolwich. Recommissioned 14.5.1856 under Capt. Arthur Auckland Leopold Pedro Cochrane,
for the East Indies and China; in 2nd Anglo-Chinese War; on 8.9.1858 under Capt. Peter Cracroft
(when Cochrane invalided), on same station, then to Australian station; in New Zealand Wars; paid off
13.9.1861 at Woolwich. Recommissioned 3.2.1865 under Capt. John Clarke Byng, for North America
and West Indies; on 9.10.1865 under Capt. James Minchin Bruce (when Byng invalided), on same station;
paid off 9.12.1868 at Woolwich. Sold 2.12.1869 to Castle for BU at Charlton.</t>
    <phoneticPr fontId="1"/>
  </si>
  <si>
    <t>SWALLOW</t>
    <phoneticPr fontId="1"/>
  </si>
  <si>
    <t>Lyra</t>
    <phoneticPr fontId="1"/>
  </si>
  <si>
    <t>Lyr a Deptford Dyd/Miller, Ravenhill &amp; Salkeld (224ihp = 7.48kts)
Ord: 3.4.1854. K: 8.7.1 854. L: 26.3.1 857. C: 1 1 . 1 2. 1 857.
First cost: £21 ,917 (£13,024 for hull, £3,583 machinery, £5,31 0 fitting)
Commissioned 1 2 . 1 1 .1857 at Woolwich under Cmdr Radulphus Bryce Oldfield, for Cape of Good Hope;
in 1 0.1861 under Cmdr John Hobhouse Inglis Alexander, on same station; paid off 3 . 1 . 1 862 at Portsmouth.
Recommissioned 19.12.1863 under Cmdr Robert Augustus Parr, for the East Indies; paid off
21 .4.1 868. Reduced to 7 guns in 1 868. BU 1876 at Portsmouth Dyd.</t>
    <phoneticPr fontId="1"/>
  </si>
  <si>
    <t>RACER</t>
    <phoneticPr fontId="1"/>
  </si>
  <si>
    <t>Icarus</t>
    <phoneticPr fontId="1"/>
  </si>
  <si>
    <t>Icarus Deptford Dyd/George Rennie &amp; Sons. (608ihp = 1 0.1 45kts)
Ord: 3.2.1 855. K: 7.4.1 857. L: 22.1 0.1 858. C: 28.12.1859.
First cost: £31,928 (£17,452 for hull, £8,633 machinery, £5,843 fitting)
Commissioned 1 . 1 1 .1 859 at Sheerness under Cmdr Nowell Salmon, for the West Indies; to Channel
Squadron 4.1861 ; to the Mediterranean 2.1862; paid off 24.5.1 864 at Sheerness. Recommissioned
26.2.1 866 under Cmdr Samuel Philip Townsend, for the China station; in 1868 under Cmdr Charles
Thomas Montague Douglas Scott, on same station; paid off 5.12.1871 at Sheerness. Sold to Castle
23.1 .1 875 to BU at Charlton.</t>
    <phoneticPr fontId="1"/>
  </si>
  <si>
    <t>Pantaloon</t>
    <phoneticPr fontId="1"/>
  </si>
  <si>
    <t>Pantaloon Devenport Dyd/Greenock Foundry Co. (484ihp = 8.934kts)
Ord: 1 .4.1857. K: 2.1 1 . 1 857. L: 26.9.1 860. C: 1 7.9.1861.
First cost: unknown.
Commissioned 24.8.1861 at Plymouth under Cmdr William Robert Hobson, for the East Indies. Recommissioned
in the East Indies under Cmdr Francis Reginald Purvis; on 22.4.1866 under Cmdr George
Lydiard Sulivan; paid off 6.3.1 867 at Plymouth. Sold to C. Marshall, Plymouth 18.9.1 867 (for £1,610).</t>
    <phoneticPr fontId="1"/>
  </si>
  <si>
    <t>CAMELION</t>
    <phoneticPr fontId="1"/>
  </si>
  <si>
    <t>Camelion</t>
    <phoneticPr fontId="1"/>
  </si>
  <si>
    <t>Came/ion Deptford Dyd/Maudslay, Sons &amp; Field (678ihp = 1 0.004kts)
Ord: 3.4.1854. K: 8.1 1 . 1 858. L: 23.2.1 860. C: 30.7.1861.
First cost: Hull £23,328, machinery £12,000.
Commissioned 9.7.1861 at Sheerness under Cmdr Edward Hardinge, for the Pacific; on 1 4.12.1863 under
Cmdr Theodore Morton Jones, on the same station; paid off 28.4.1 866 at Sheerness. Recommissioned
1 .5.1867 under Cmdr William Henry Annesley, for the Pacific; paid off 1.5. 1 871 at Panama.
Recommissioned 5.1871 under Cmdr Andrew James Kennedy, for the Pacific; paid off 10.6. 1875 at
Sheerness. Sold 1883.</t>
    <phoneticPr fontId="1"/>
  </si>
  <si>
    <t>ROSARIO</t>
    <phoneticPr fontId="1"/>
  </si>
  <si>
    <t>Columbine</t>
    <phoneticPr fontId="1"/>
  </si>
  <si>
    <t>Columbine Deptford Dyd/Greenock Foundry Co. (598ihp = 9.504kts)
Ord: 8.4.1859. K: 1 6.5.1860. L: 2.4.1 862. C : 5.1 863.
Commissioned 13.5.1863 at Sheerness under Cmdr Thomas le Hunte Ward, for fishery protection in
Scotland; to the Pacific 1 0.1 863; in 1865 under Cmdr James Elphinstone Erskine, in the Pacific; paid
off 22. 1 . 1 868 at Sheerness. Recommissioned 1 6.6.1 870 under Cmdr John Collier Tucker, for the East
Indies; on 22.1 1.1 872 under Cmdr Edward William Hereford, on same station; paid off 1 5.5.1874 at
Sheerness. SU 6.1 875 at Chatham.</t>
    <phoneticPr fontId="1"/>
  </si>
  <si>
    <t>Africa</t>
    <phoneticPr fontId="1"/>
  </si>
  <si>
    <t>Africa Devenport Dyd/Greenock Foundry Co. (530ihp = 9.5kts)
Ord: 5.3.1 860. K: 22.12.1 860. L: 1 4.2.1862. C: 1 3.8.1862.
Not commissioned in British Navy. Sold to Chinese Imperial Customs 13 .8.1 862, renamed China and sailed
4.1 863 (to join Capt. Sherard Osborn's 'Vampire Fleet'), but returned to England when agreement with
the Chinese government collapsed. Resold 30.12.1 865 to the Egyptian government.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</si>
</sst>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2"/>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ACAFB-69D1-554C-94ED-E85A14CF2C93}">
  <dimension ref="A1:H8"/>
  <sheetViews>
    <sheetView tabSelected="1" workbookViewId="0">
      <selection activeCell="C2" sqref="C2"/>
    </sheetView>
  </sheetViews>
  <sheetFormatPr baseColWidth="10" defaultRowHeight="20"/>
  <cols>
    <col min="1" max="1" width="35.28515625" bestFit="1" customWidth="1"/>
    <col min="2" max="2" width="7.7109375" bestFit="1" customWidth="1"/>
    <col min="5" max="5" width="31.140625" bestFit="1" customWidth="1"/>
    <col min="6" max="6" width="21.28515625" bestFit="1" customWidth="1"/>
    <col min="7" max="7" width="19.85546875" bestFit="1" customWidth="1"/>
    <col min="8" max="8" width="89.140625" customWidth="1"/>
  </cols>
  <sheetData>
    <row r="1" spans="1:8">
      <c r="A1" t="s">
        <v>0</v>
      </c>
      <c r="B1" t="s">
        <v>1</v>
      </c>
      <c r="C1" t="s">
        <v>2</v>
      </c>
      <c r="D1" t="s">
        <v>3</v>
      </c>
      <c r="E1" t="s">
        <v>4</v>
      </c>
      <c r="F1" t="s">
        <v>5</v>
      </c>
      <c r="G1" t="s">
        <v>6</v>
      </c>
      <c r="H1" t="s">
        <v>7</v>
      </c>
    </row>
    <row r="2" spans="1:8" ht="252">
      <c r="A2" t="s">
        <v>8</v>
      </c>
      <c r="B2" t="s">
        <v>9</v>
      </c>
      <c r="C2">
        <v>1</v>
      </c>
      <c r="D2">
        <v>4</v>
      </c>
      <c r="E2" t="s">
        <v>10</v>
      </c>
      <c r="F2" t="s">
        <v>11</v>
      </c>
      <c r="G2" t="str">
        <f t="shared" ref="G2:G8" si="0">_xlfn.CONCAT("myData:", B2, "_", TEXT(D2, "0000"))</f>
        <v>myData:SCSL_0004</v>
      </c>
      <c r="H2" s="1" t="s">
        <v>12</v>
      </c>
    </row>
    <row r="3" spans="1:8" ht="147">
      <c r="A3" t="s">
        <v>8</v>
      </c>
      <c r="B3" t="s">
        <v>9</v>
      </c>
      <c r="C3">
        <v>2</v>
      </c>
      <c r="D3">
        <v>23</v>
      </c>
      <c r="E3" t="s">
        <v>13</v>
      </c>
      <c r="F3" t="s">
        <v>14</v>
      </c>
      <c r="G3" t="str">
        <f t="shared" si="0"/>
        <v>myData:SCSL_0023</v>
      </c>
      <c r="H3" s="1" t="s">
        <v>15</v>
      </c>
    </row>
    <row r="4" spans="1:8" ht="168">
      <c r="A4" t="s">
        <v>8</v>
      </c>
      <c r="B4" t="s">
        <v>9</v>
      </c>
      <c r="C4">
        <v>3</v>
      </c>
      <c r="D4">
        <v>27</v>
      </c>
      <c r="E4" t="s">
        <v>16</v>
      </c>
      <c r="F4" t="s">
        <v>17</v>
      </c>
      <c r="G4" t="str">
        <f t="shared" si="0"/>
        <v>myData:SCSL_0027</v>
      </c>
      <c r="H4" s="1" t="s">
        <v>18</v>
      </c>
    </row>
    <row r="5" spans="1:8" ht="126">
      <c r="A5" t="s">
        <v>8</v>
      </c>
      <c r="B5" t="s">
        <v>9</v>
      </c>
      <c r="C5">
        <v>4</v>
      </c>
      <c r="D5">
        <v>28</v>
      </c>
      <c r="E5" t="s">
        <v>16</v>
      </c>
      <c r="F5" t="s">
        <v>19</v>
      </c>
      <c r="G5" t="str">
        <f t="shared" si="0"/>
        <v>myData:SCSL_0028</v>
      </c>
      <c r="H5" s="1" t="s">
        <v>20</v>
      </c>
    </row>
    <row r="6" spans="1:8" ht="168">
      <c r="A6" t="s">
        <v>8</v>
      </c>
      <c r="B6" t="s">
        <v>9</v>
      </c>
      <c r="C6">
        <v>5</v>
      </c>
      <c r="D6">
        <v>30</v>
      </c>
      <c r="E6" t="s">
        <v>21</v>
      </c>
      <c r="F6" t="s">
        <v>22</v>
      </c>
      <c r="G6" t="str">
        <f t="shared" si="0"/>
        <v>myData:SCSL_0030</v>
      </c>
      <c r="H6" s="1" t="s">
        <v>23</v>
      </c>
    </row>
    <row r="7" spans="1:8" ht="147">
      <c r="A7" t="s">
        <v>8</v>
      </c>
      <c r="B7" t="s">
        <v>9</v>
      </c>
      <c r="C7">
        <v>6</v>
      </c>
      <c r="D7">
        <v>43</v>
      </c>
      <c r="E7" t="s">
        <v>24</v>
      </c>
      <c r="F7" t="s">
        <v>25</v>
      </c>
      <c r="G7" t="str">
        <f t="shared" si="0"/>
        <v>myData:SCSL_0043</v>
      </c>
      <c r="H7" s="1" t="s">
        <v>26</v>
      </c>
    </row>
    <row r="8" spans="1:8" ht="105">
      <c r="A8" t="s">
        <v>8</v>
      </c>
      <c r="B8" t="s">
        <v>9</v>
      </c>
      <c r="C8">
        <v>7</v>
      </c>
      <c r="D8">
        <v>44</v>
      </c>
      <c r="E8" t="s">
        <v>24</v>
      </c>
      <c r="F8" t="s">
        <v>27</v>
      </c>
      <c r="G8" t="str">
        <f t="shared" si="0"/>
        <v>myData:SCSL_0044</v>
      </c>
      <c r="H8" s="1" t="s">
        <v>28</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小風 尚樹</dc:creator>
  <cp:lastModifiedBy>小風 尚樹</cp:lastModifiedBy>
  <dcterms:created xsi:type="dcterms:W3CDTF">2025-11-10T05:42:42Z</dcterms:created>
  <dcterms:modified xsi:type="dcterms:W3CDTF">2025-11-10T05:45:01Z</dcterms:modified>
</cp:coreProperties>
</file>
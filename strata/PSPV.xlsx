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202300"/>
  <mc:AlternateContent xmlns:mc="http://schemas.openxmlformats.org/markup-compatibility/2006">
    <mc:Choice Requires="x15">
      <x15ac:absPath xmlns:x15ac="http://schemas.microsoft.com/office/spreadsheetml/2010/11/ac" url="/Users/naoki_kokaze/Library/CloudStorage/Dropbox/Digital_Humanities/2025年度/じんもんこん/軍艦キャリア/Strata/"/>
    </mc:Choice>
  </mc:AlternateContent>
  <xr:revisionPtr revIDLastSave="0" documentId="8_{D8D19782-FCB4-3F42-AD54-134BD38F47E1}" xr6:coauthVersionLast="47" xr6:coauthVersionMax="47" xr10:uidLastSave="{00000000-0000-0000-0000-000000000000}"/>
  <bookViews>
    <workbookView xWindow="32520" yWindow="3900" windowWidth="27500" windowHeight="16360" xr2:uid="{38363D99-869B-7543-88E5-C53016A900BC}"/>
  </bookViews>
  <sheets>
    <sheet name="Sheet1" sheetId="1" r:id="rId1"/>
    <sheet name="Sheet2" sheetId="2"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G8" i="1"/>
  <c r="G7" i="1"/>
  <c r="G6" i="1"/>
  <c r="G5" i="1"/>
  <c r="G4" i="1"/>
  <c r="G3" i="1"/>
  <c r="G2" i="1"/>
</calcChain>
</file>

<file path=xl/sharedStrings.xml><?xml version="1.0" encoding="utf-8"?>
<sst xmlns="http://schemas.openxmlformats.org/spreadsheetml/2006/main" count="43" uniqueCount="29">
  <si>
    <t>P</t>
    <phoneticPr fontId="1"/>
  </si>
  <si>
    <t>Prefix</t>
    <phoneticPr fontId="1"/>
  </si>
  <si>
    <t>strata_no</t>
    <phoneticPr fontId="1"/>
  </si>
  <si>
    <t>serial_no</t>
    <phoneticPr fontId="1"/>
  </si>
  <si>
    <t>CLASS</t>
    <phoneticPr fontId="1"/>
  </si>
  <si>
    <t>Name</t>
    <phoneticPr fontId="1"/>
  </si>
  <si>
    <t>ID</t>
    <phoneticPr fontId="1"/>
  </si>
  <si>
    <t>text</t>
    <phoneticPr fontId="1"/>
  </si>
  <si>
    <t>Paddle / Steam Paddle Vessel</t>
    <phoneticPr fontId="1"/>
  </si>
  <si>
    <t>PSPV</t>
    <phoneticPr fontId="1"/>
  </si>
  <si>
    <t>COMET</t>
    <phoneticPr fontId="1"/>
  </si>
  <si>
    <t>Comet</t>
    <phoneticPr fontId="1"/>
  </si>
  <si>
    <t>Comet Deptford Dyd/Boulton, Watt &amp; Co.
Ord: 10.11.1819. K: 21.11.1821. L: 23.5.1822. C: 13.7.1822 (for sea).
First cost: hull £8,052, fitting (masts &amp; yards, stores) £1,313, machinery £5,050.
At Deptford from 1822, and at Woolwich 1834. In 23.4.1836 under Lieut (Cmdr 6.1.1837) Robert Otway,
off the coasts of Spain and Portugal; on 1.7.1837 under Lieut George Thomas Gordon. Refitted at
Deptford as a Surveying vessel (for £3,195) 1842, to serve on the coast of Ireland; on 15.7.1842 under
Cmdr George Alexander Frazer; then 12.7.1844 Lieut William Pretyman, on 29.6.1846 under Lieut
Charles Richardson Johnson, then 25.10.1847 Lieut Charles Gray Rigge; surveying west coast of
Scotland 1849-53; on 7.5.1850 under Cmdr Henry Charles Otter (-1853), at Cork, then back to Scottish
survey. Fitted as surveying vessel, then as tug at Portsmouth 1854. BU from 10.12.1868 at Portsmouth
Dyd (No. 6 Dock).</t>
    <phoneticPr fontId="1"/>
  </si>
  <si>
    <t>ALBAN</t>
    <phoneticPr fontId="1"/>
  </si>
  <si>
    <t>Alban</t>
    <phoneticPr fontId="1"/>
  </si>
  <si>
    <t>Alban Deptford Dyd/Boulton &amp; Watt (initially 80nhp)
Ord: 5.1824. K: 7.1824. L: 27.12.1826. C: 6.5.1827.
First cost: £12,293, +£4,950 for engine.
Tender at Deptford from 1827, for towing and transport duties. On 11.6.1830 under Lieut Thomas John
James Davis, at Woolwich (died 27.8.1831); on 29.8.1831 under Lieut Henry Walker. Re-engined at
Woolwich (for £4,403) with new B&amp;W 1 00nhp engine installed 3 - 4.1831. On 27.11.1832 under Lieut
Andrew Kennedy, for the Mediterranean and later to West Indies; navigated Orinoco upriver as far as
Angostura. On 17.6.1834 under Lieut Juste Peter Roepel, in the Mediterranean, then to North America
and West Indies, then 17.6.1836 under Lieut Edward Burnaby Tinling; paid off 25.6.1839. Rebuilt at
Chatham (for £6,908) 1839-40, lengthened to 145ft, 127½ft (= 407bm), then to Woolwich where fitted
with Carron's engine and new boilers (for £8,319), then back to Chatham where fitted for trooping (for
£1,127). On 1.6.1840 at Portsmouth under John King, Acting Master, as transport. Recommissioned
8.3.1843 under Lieut John Jeayes, for particular service, then 16.8.1844 under Lieut Frederick Lowe,
and 5.9.1845 under Lieut ?White. On 17.10.1845 under Jonathan Aylen, Master, for trooping; on
29.6.1846 under Henry Burney, Master, then on 6.11.1846 under Manser Bradshaw, Master; paid off
16.2.1849 at Woolwich. From 8.1850 at Jamaica, as tender to lmaum; returned to Woolwich 8.1853
and paid off 13.8.1853. Refitted and re-coppered 9.1853-3.1854. Recommissioned 6.3.1854 under
Lieut Edward Burstal, then 25.4.1854 under Cmdr Henry Charles Otter, for surveying in the Baltic; on
1.1.1855 under Cmdr Lacon Usher Hammett, at Woolwich; on 12.3.1855 under Lieut William Edward
Fisher, at Sheerness. Repairs at Sheerness 1-2.1856 following ice damage to paddle wheels; on
19.5.1856 under Lieut William Barnard De Blaquiere, as tender to Port Admiral at Portsmouth; paid off
3.4.1858 into Steam Reserve at Portsmouth. BU there 5.1860.</t>
    <phoneticPr fontId="1"/>
  </si>
  <si>
    <t>SALAMANDER</t>
    <phoneticPr fontId="1"/>
  </si>
  <si>
    <t>Salamander</t>
    <phoneticPr fontId="1"/>
  </si>
  <si>
    <t>Salamander Sheerness Dyd/Maudslay, Sons &amp; Field
Ord: 12.1 .1831. K: 4.1831. L: 1 4.5.1 832. C.12.2.1 833.
First cost: £34,224 (builder £20,429, machinery £1 1 ,201 , fitting £2,704).
Commissioned 27.11.1832 under Cmdr Horatio Thomas Austin, at Woolwich. On 15.2.1834 under
Cmdr William Langford Castle, for the Channel. On 1 5.4.1 836 under Cmdr John Duffill, then
on 1 6.8.1836 under Cmdr Sidney Colpoys Dacres, for particular service on the north coast of
Spain; on 1 6.9.1840 under Cmdr Hastings Reginald Henry; paid off 1 1 .8.1841 . Recommissioned
24.6.1842 under Cmdr Andrew Snape Hamond, for South America, then the Pacific in 1842;
repaired at Jamaica 2.1847 (new mainmast and bowsprit); paid off 1 1 .1 847 at Woolwich. Refit
at Sheerness, then to Woolwich and 1 .1 849 to Plymouth for Steam Reserve (used as tug/tender).
Recommissioned 1 7.7.1850 under Cmdr John Spencer Ellman, for the East Indies; home
in 8.1854, then 1 9.8.1854 under Cmdr Benjamin Portland Priest, in the Mediterranean; paid off
23.11.1 854 at Portsmouth into Steam Reserve. Recommissioned 6.1 1 .1855 under Cmdr George
Frederick Mecham, for the west coast of Africa; home in 6.1856; used as transport, and sent to
64° N to search for missing merchantmen from Archangel; to Sheerness 2.1857 for repairs to ice
damage, but found unfit and paid off 4.2.1857. Repair and refit (reboilered) at Chatham 1857-
58, then to Medway Steam Reserve. At Woolwich in 1 860. 'Very extensive repair' at Chatham
1863 (machinery overhauled, new poop and masts). Recommissioned 8.1 2.1 863 under Cmdr
John Carnegie, for Australia; on 11 .7.1865 under Cmdr George Strong Nares, in Australia; sailed
for home 4.7.1867 and paid off 1 2.1867 into Steam Reserve. At Sheerness 1869. During 1870
under Cmdr George B. F. Swain and in 1872 Cmdr John C. Solfleet (both intermittently upon employment
as transport). Recommissioned 9.4.1872 as transport under Cmdr Edward Youel, then
23.12.1872 under Cmdr James Kiddle; paid off 20.7.1 875 into Steam Reserve at Portsmouth.
Sold to Castle 1 0.1883 and towed away 19.1 2.1883 to BU.</t>
    <phoneticPr fontId="1"/>
  </si>
  <si>
    <t>BOXER</t>
    <phoneticPr fontId="1"/>
  </si>
  <si>
    <t>BOXER 1 837-41 [ex-PO Ivanhoe, launched 1 7.2. 1820 by Scott &amp; Co., Greenock for the City of Dublin Steam
Packet Co. - first purchased in December 1 821 by the PO for the Holyhead Station - later moved to the Weymouth
Station.
Dimensions &amp; tons: 1 01 ft 2in, 91 ft 9in x 1 8ft Sin x 11 ft 0in. 1 70bm.
Men: -
. Guns: -
.
Machinery: Originally David Napier side lever, replaced by Maudslay side lever 1826. 60nhp.
Transferred 1 .4.1 837. Commissioned 8.6. 1837 under Cmdr Frederick Bullock (-1 841 ), for surveying the
Thames Estuary. Sold 27.5.1 841 to BU.</t>
    <phoneticPr fontId="1"/>
  </si>
  <si>
    <t>JASPER</t>
    <phoneticPr fontId="1"/>
  </si>
  <si>
    <t>JASPER 1837-54 [ex-PO Aladdin, built 1824 by Richard Symonds, Falmouth for Simmonds - later purchased by
PO]
Dimensions &amp; tons: 1 12ft 6in, about 95ft Oin x 21ft 4in x 12ft Sin. 223bm.
Men: 12. Guns: 1 x 12pdr carronade, travelling carriage.
Machinery: Fawcett, Preston &amp; Co. side lever. 1 00nhp.
Transferred 4.1837. Commissioned 13.4.1837 under Edward Rose, Master, for mail packet service at
Pembroke; paid off 11.1848 at Woolwich. Recommissioned 9.5.1849 under Cmdr Richard Brydges
Beechey, for surveying in Bristol Channel, then paid off 12.1849 at Woolwich. Used as a tug there from
2.1850. Repair and refit at Woolwich in 1853 (engine overhauled, reboilered), then to Plymouth 1853 as
a tug. Fitted as gunboat at Plymouth 4.1854 (with 1 x 32pdr on pivot and 2 x 18pdr carronades). Recommissioned
21.4.1854 under Lieut Charles Gibbs Crawley, for the Baltic, but caught fire 15.5.1854,
exploded and sank off Beachy Head.</t>
    <phoneticPr fontId="1"/>
  </si>
  <si>
    <t>OTTER</t>
    <phoneticPr fontId="1"/>
  </si>
  <si>
    <t>OTT ER 1837-78 [ex-PO Wizard, built 1827 by George Graham, Harwich)
Dimensions &amp; tons: 120ft Oin, 102ft Oin x 20ft 9in x 12ft Sin. 237bm. Draught 8ft 3in/8ft Sin.
Men: -
. Guns: 1 x 6pdr (long).
Machinery: Boulton, Watt &amp; Co. side lever. 120nhp. 272ihp.
First cost: £12,160 total (hull £5,214, machinery £5,800, fitting £1,156).
Transferred 1 837. Commissioned 24.8.1837 under Lieut Henry Paget Jones (who had actually been in
command, of Wizard as a PO vessel, since 1826), for the mail packet service at Holyhead. On 9.6.1844
under Lieut Edward Wylde; paid off 26.8.1848 at Portsmouth; moved to Woolwich 3.1849, then back
to Holyhead 7.1 849 under Charles Pulfer, Master; paid off 5.1850 at Chatham. Fitted (for £4,761) as
a gunvessel in 3.1854 at Woolwich (with 1 x 32pdr on pivot and 2 x 18pdr carronades). Recommissioned
23.5.1854 under Lieut William Andrew James Heath, for the Baltic; home in 10.1854, had repair
and refit at Woolwich 11.1854-2.1855; on 12.3.1855 under Lieut John Hawley Glover, for the Baltic
5-9.1855; at Sheerness 1856, then on transport duties. On 25.2.1857 under Lieut Cortland Herbert
Simpson, for fishery protection off Scotland; paid off 8.4.1858 at Sheerness into Steam Reserve. Fitted
as tug 1860 at Sheerness; reboilered 1863. Coal 'haulabout' at Chatham 1878, then coal hulk at
Sheerness 1884. Sold 1893.</t>
    <phoneticPr fontId="1"/>
  </si>
  <si>
    <t>BEAVER</t>
    <phoneticPr fontId="1"/>
  </si>
  <si>
    <t>BEAVER 1837-50 [ex-PO Salamander, built 1827 by George Graham, Harwich]
Dimensions &amp; tons: 102ft 2in, about 92ft Qin x 16ft 2in x 8ft Sin. 128bm.
Men: 12. Guns: 1 x 4pdr carronade.
Machinery: Maudslay, Sons &amp; Field side lever. 62nhp.
Originally of 11 0bm tons, with 50nhp engine; lengthened by Fletcher &amp; Fearnall, Limehouse and re-engined
1836-37. Transferred 1837.
Commissioned 3.6.1837 under Lieut Robert Mudge, for the Dover station (-1845). Refitted at Woolwich (for
£1,751) 1840, but was a dockyard craft by 1845. Hulked (as 'lump' at Woolwich Dyd) by AO 22.2.1850.
BU completed 25.3.1858 at Woolwich.</t>
    <phoneticPr fontId="1"/>
  </si>
  <si>
    <t>MYRTLE</t>
    <phoneticPr fontId="1"/>
  </si>
  <si>
    <t>MYRTLE 1837-68 [ex-PO Firef ly, built 1831 by Fletcher &amp; Fearnall, Limehouse]
Dimensions &amp; tons: 96ft 3in, 84ft Oin x 16ft 1 in x 9ft ?½in. 116bm.
Men: 12. Guns: 1 x 4pdr carronade.
Machinery: Boulton, Watt &amp; Co. side lever. 50nhp.
Transferred 9.1837. Refitted and reboilered at Woolwich (for £3,288) 1837-38.
Commissioned 3.6.1838 under Robert Sherlock, Master, stationed at Dover; on 1.7.1839 under Edward
Rutter, 2nd Master; on same service; paid off 8.1840. From 1840 based at Woolwich, used as a relief
steamer for Dover packet service whenever required. In 9.1846 under Alfred Balliston, 2nd Master, as a
tender at Portsmouth; Repair at Woolwich (for £3,621) 12.1847-8.1848; returned 8.1848 as a tender to
Portsmouth; from 4.1849 under Samuel Braddon, Master; from 1850 at Sheerness. Recommissioned
1.1858 under William S. Bourchier, Master, at Sheerness, as tender to Formidable and later (3.7.1860)
to Monarch. Converted to a tug 1861 at Portsmouth. BU 5.1868 at Portsmouth Dyd by Israel Marks.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</si>
</sst>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2"/>
      <color theme="1"/>
      <name val="游ゴシック"/>
      <family val="2"/>
      <charset val="128"/>
      <scheme val="minor"/>
    </font>
    <font>
      <sz val="6"/>
      <name val="游ゴシック"/>
      <family val="2"/>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2">
    <xf numFmtId="0" fontId="0" fillId="0" borderId="0" xfId="0">
      <alignment vertical="center"/>
    </xf>
    <xf numFmtId="0" fontId="0" fillId="0" borderId="0" xfId="0"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95564B-6BC6-7E4C-90F8-0BCC0FCD7A3C}">
  <dimension ref="A1:H9"/>
  <sheetViews>
    <sheetView tabSelected="1" zoomScale="75" workbookViewId="0">
      <selection activeCell="C13" sqref="C13"/>
    </sheetView>
  </sheetViews>
  <sheetFormatPr baseColWidth="10" defaultRowHeight="20"/>
  <cols>
    <col min="1" max="1" width="35.28515625" bestFit="1" customWidth="1"/>
    <col min="2" max="2" width="7.7109375" bestFit="1" customWidth="1"/>
    <col min="5" max="5" width="31.140625" bestFit="1" customWidth="1"/>
    <col min="6" max="6" width="21.28515625" bestFit="1" customWidth="1"/>
    <col min="7" max="7" width="19.85546875" bestFit="1" customWidth="1"/>
    <col min="8" max="8" width="89.140625" customWidth="1"/>
  </cols>
  <sheetData>
    <row r="1" spans="1:8">
      <c r="A1" t="s">
        <v>0</v>
      </c>
      <c r="B1" t="s">
        <v>1</v>
      </c>
      <c r="C1" t="s">
        <v>2</v>
      </c>
      <c r="D1" t="s">
        <v>3</v>
      </c>
      <c r="E1" t="s">
        <v>4</v>
      </c>
      <c r="F1" t="s">
        <v>5</v>
      </c>
      <c r="G1" t="s">
        <v>6</v>
      </c>
      <c r="H1" t="s">
        <v>7</v>
      </c>
    </row>
    <row r="2" spans="1:8" ht="231">
      <c r="A2" t="s">
        <v>8</v>
      </c>
      <c r="B2" t="s">
        <v>9</v>
      </c>
      <c r="C2">
        <v>1</v>
      </c>
      <c r="D2">
        <v>1</v>
      </c>
      <c r="E2" t="s">
        <v>10</v>
      </c>
      <c r="F2" t="s">
        <v>11</v>
      </c>
      <c r="G2" t="str">
        <f>_xlfn.CONCAT("myData:", B2, "_", TEXT(D2, "0000"))</f>
        <v>myData:PSPV_0001</v>
      </c>
      <c r="H2" s="1" t="s">
        <v>12</v>
      </c>
    </row>
    <row r="3" spans="1:8" ht="409.6">
      <c r="A3" t="s">
        <v>8</v>
      </c>
      <c r="B3" t="s">
        <v>9</v>
      </c>
      <c r="C3">
        <v>2</v>
      </c>
      <c r="D3">
        <v>5</v>
      </c>
      <c r="E3" t="s">
        <v>13</v>
      </c>
      <c r="F3" t="s">
        <v>14</v>
      </c>
      <c r="G3" t="str">
        <f>_xlfn.CONCAT("myData:", B3, "_", TEXT(D3, "0000"))</f>
        <v>myData:PSPV_0005</v>
      </c>
      <c r="H3" s="1" t="s">
        <v>15</v>
      </c>
    </row>
    <row r="4" spans="1:8" ht="409.6">
      <c r="A4" t="s">
        <v>8</v>
      </c>
      <c r="B4" t="s">
        <v>9</v>
      </c>
      <c r="C4">
        <v>3</v>
      </c>
      <c r="D4">
        <v>15</v>
      </c>
      <c r="E4" t="s">
        <v>16</v>
      </c>
      <c r="F4" t="s">
        <v>17</v>
      </c>
      <c r="G4" t="str">
        <f>_xlfn.CONCAT("myData:", B4, "_", TEXT(D4, "0000"))</f>
        <v>myData:PSPV_0015</v>
      </c>
      <c r="H4" s="1" t="s">
        <v>18</v>
      </c>
    </row>
    <row r="5" spans="1:8" ht="231">
      <c r="A5" t="s">
        <v>8</v>
      </c>
      <c r="B5" t="s">
        <v>9</v>
      </c>
      <c r="C5">
        <v>4</v>
      </c>
      <c r="D5">
        <v>36</v>
      </c>
      <c r="F5" t="s">
        <v>19</v>
      </c>
      <c r="G5" t="str">
        <f>_xlfn.CONCAT("myData:", B5, "_", TEXT(D5, "0000"))</f>
        <v>myData:PSPV_0036</v>
      </c>
      <c r="H5" s="1" t="s">
        <v>20</v>
      </c>
    </row>
    <row r="6" spans="1:8" ht="273">
      <c r="A6" t="s">
        <v>8</v>
      </c>
      <c r="B6" t="s">
        <v>9</v>
      </c>
      <c r="C6">
        <v>5</v>
      </c>
      <c r="D6">
        <v>38</v>
      </c>
      <c r="F6" t="s">
        <v>21</v>
      </c>
      <c r="G6" t="str">
        <f>_xlfn.CONCAT("myData:", B6, "_", TEXT(D6, "0000"))</f>
        <v>myData:PSPV_0038</v>
      </c>
      <c r="H6" s="1" t="s">
        <v>22</v>
      </c>
    </row>
    <row r="7" spans="1:8" ht="357">
      <c r="A7" t="s">
        <v>8</v>
      </c>
      <c r="B7" t="s">
        <v>9</v>
      </c>
      <c r="C7">
        <v>6</v>
      </c>
      <c r="D7">
        <v>44</v>
      </c>
      <c r="F7" t="s">
        <v>23</v>
      </c>
      <c r="G7" t="str">
        <f>_xlfn.CONCAT("myData:", B7, "_", TEXT(D7, "0000"))</f>
        <v>myData:PSPV_0044</v>
      </c>
      <c r="H7" s="1" t="s">
        <v>24</v>
      </c>
    </row>
    <row r="8" spans="1:8" ht="189">
      <c r="A8" t="s">
        <v>8</v>
      </c>
      <c r="B8" t="s">
        <v>9</v>
      </c>
      <c r="C8">
        <v>7</v>
      </c>
      <c r="D8">
        <v>52</v>
      </c>
      <c r="F8" t="s">
        <v>25</v>
      </c>
      <c r="G8" t="str">
        <f>_xlfn.CONCAT("myData:", B8, "_", TEXT(D8, "0000"))</f>
        <v>myData:PSPV_0052</v>
      </c>
      <c r="H8" s="1" t="s">
        <v>26</v>
      </c>
    </row>
    <row r="9" spans="1:8" ht="252">
      <c r="A9" t="s">
        <v>8</v>
      </c>
      <c r="B9" t="s">
        <v>9</v>
      </c>
      <c r="C9">
        <v>8</v>
      </c>
      <c r="D9">
        <v>54</v>
      </c>
      <c r="F9" t="s">
        <v>27</v>
      </c>
      <c r="G9" t="str">
        <f>_xlfn.CONCAT("myData:", B9, "_", TEXT(D9, "0000"))</f>
        <v>myData:PSPV_0054</v>
      </c>
      <c r="H9" s="1" t="s">
        <v>28</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6E007-ADFB-E94E-AC77-ADB2EFABBE2E}">
  <dimension ref="A1"/>
  <sheetViews>
    <sheetView zoomScaleNormal="100" workbookViewId="0">
      <selection sqref="A1:XFD21"/>
    </sheetView>
  </sheetViews>
  <sheetFormatPr baseColWidth="10" defaultRowHeight="20"/>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小風 尚樹</dc:creator>
  <cp:lastModifiedBy>小風 尚樹</cp:lastModifiedBy>
  <dcterms:created xsi:type="dcterms:W3CDTF">2025-11-10T05:35:46Z</dcterms:created>
  <dcterms:modified xsi:type="dcterms:W3CDTF">2025-11-10T05:41:55Z</dcterms:modified>
</cp:coreProperties>
</file>
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46102DF5-442B-484D-86B8-C49E23FC926D}" xr6:coauthVersionLast="47" xr6:coauthVersionMax="47" xr10:uidLastSave="{00000000-0000-0000-0000-000000000000}"/>
  <bookViews>
    <workbookView xWindow="21440" yWindow="6940" windowWidth="27100" windowHeight="15860" xr2:uid="{9C3EC015-C287-BF4D-AC48-D59A2F66D1C6}"/>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3" i="1"/>
  <c r="G2" i="1"/>
</calcChain>
</file>

<file path=xl/sharedStrings.xml><?xml version="1.0" encoding="utf-8"?>
<sst xmlns="http://schemas.openxmlformats.org/spreadsheetml/2006/main" count="23" uniqueCount="18">
  <si>
    <t>Paddle / Frigate</t>
    <phoneticPr fontId="1"/>
  </si>
  <si>
    <t>PF</t>
    <phoneticPr fontId="1"/>
  </si>
  <si>
    <t>Later CYCLOPS</t>
    <phoneticPr fontId="1"/>
  </si>
  <si>
    <t>Firebrand</t>
    <phoneticPr fontId="1"/>
  </si>
  <si>
    <t>Firebrand Portsmouth Dyd/Seaward &amp; Capel (41 0nhp)
As built: 190ft 0½in, 163ft 5%in x 37ft 6in oa (37ft 0in for tonnage) x 23ft Oin. 1, 19034; 94bm. 1,960 disp.
Ord: 18.3.1841 . K: 12.1841. L: 5.9.1842. C: 22.10.1844 (for sea).
First cost: Hull £23,310, machinery £18,747, fitting £13,034.
Commissioned 7.9.1844 under Capt. Armar Lowry Corry, in command of 1844 experimental squadron of
brigs. On 13.12.1844 under Capt. James Hope, for east coast of South America; at Battle of Obligado
20.11.1 845; paid off 17.6.1848 at Woolwich. Small repair at Woolwich (for £22,186) 10.1848-10.1849.
Recommissioned 6.10.1849 under Capt. Thomas Owen Knox, for the Mediterranean (died 30.4.1851).
Recommissioned 18.12.1852 under Capt. Hyde Parker, for the Mediterranean; in 1854 to the Black
Sea (killed 7.7.1854 in action at Sulina); on 8.7.1854 under Capt. William Houston Stewart (temp).
In 10.1854 under Capt. William Moorsom; at bombardment of Sebastopol 11.10.1854. On 7.7.1855
under Capt. Edward Augustus lnglefield, in the Black Sea; on 7.3.1856 under Capt. John Welbore
Sunderland Spencer; paid off 6.8.1 856 at Sheerness into Steam Reserve. Reboilered at Woolwich (for
£8,230) 11.1858-6.1859. Recommissioned 27.4.1859 under Cmdr James Minchin Bruce, for North
America and the West Indies. On 14.5.1859 under Cmdr Joseph Dayman, for cable-laying to Gibraltar;
Cmdr Bruce resumed command 15.1 1.1859, for Channel fleet; to the West Indies 12.1860; home in
9.1861 , then to Mediterranean 11.1861; on 22.4.1862 under Cmdr Shute Barrington Piers, in the Mediterranean;
paid off 9.4.1863. Sold to Castle 7.10.1864 to BU at Charlton.</t>
    <phoneticPr fontId="1"/>
  </si>
  <si>
    <t>Gladiator</t>
    <phoneticPr fontId="1"/>
  </si>
  <si>
    <t>Gladiator Woolwich Dyd/Miller, Raven hill &amp; Col (430nhp/943ihp).
As built: 190ft 0in, 163ft 8%in x 37ft Sin oa (37ft 2in for tonnage) x 23ft 0in. 1,21028194bm. 1,960 disp.
Ord: 18.3.1841. K: 2.1842. L: 15.10.1844. C: 25.4.1846 at Woolwich (after engines fitted in East India
Docks)
First cost: Hull £21,535, machinery £23, 579, fitting £12,659.
Commissioned 12.12.1845 under Capt. John Robb, for the Channel and later the Mediterranean; paid off
10.3.1849. Recommissioned 4.1.1850 under Capt. John Adams, for the west coast of Africa; took
slavers Bom Fim 24.5.1 850 and Gira So/ 4.9.1850; paid off 16.5.1852 at Portsmouth. Repair and refit
there 1852-53. Recommissioned 3.4.1854 under Capt. Sir George Nathaniel Broke, for the Mediterranean
and Black Sea. In 5.1855 under Capt. Robert Hall, then 7.6.1855 under Capt. Charles Farrell Hillyar,
for the Black Sea; paid of f 22.5.1857 at Plymouth into Steam Reserve. Recommissioned 22.6.1859
under Cmdr Henry Dennis Hickley, for North America and the West Indies; paid off 29.10.1861 at Plymouth
into Steam Reserve. Recommissioned 9.3.1864 under Capt. Francis Henry Shortt, for particular
service. On 15.6.1865 under Capt. Elphinstone D'Oyley D' Auverne Aplin. On 19.8.1869 under Capt.
Norman Bernard Bedingfeld, for the east coast of South America; paid off 20.2.1872. Sold to Castle
(by AO 25.1.1877) and BU 3.1879.</t>
    <phoneticPr fontId="1"/>
  </si>
  <si>
    <t>RETRIBUTION</t>
    <phoneticPr fontId="1"/>
  </si>
  <si>
    <t>Retribution</t>
    <phoneticPr fontId="1"/>
  </si>
  <si>
    <t>Retribution Chatham Dyd/Maudslay, Sons &amp; Field
Ord: 26.3.1842. K: 8.1842. L: 2.7.1844. C: 23.12.1845 at Chatham (after fitting machinery at East India
Dock).
First cost: £91,540 total (hull £34,456, machinery £43.210, fitting £13,874).
Commissioned 14.10.1845 under Capt. Stephen Lushington, for the Channel; paid off 16.10.1846 at Portsmouth.
Re-engined at Woolwich in 1849-50 with Penn 2-cylinder (72in diameter, 7ft stroke) 400nhp
oscillating engine, new tubular boilers and paddlewheels; converted from brig rig by addition of a
mizzen mast; fitted for sea at Portsmouth (for £36,076) 7 - 10.1850. Recommissioned 7.8.1850 under
Capt. Frederick Warden, on particular service. Recommissioned 10.6.1852 under Capt. James Robert
Drummond, for the Mediterranean and Black Sea; bombardment of Odessa 22.4.1854; bombardment
of Sebastopol 11.10.1854; paid off 2.2.1855 at Portsmouth. Recommissioned 3.1855 under Capt.
Thomas Fisher, as flag of Rear-Adm. Robert Lambert Baynes, for the Baltic; home in 12.1855 and paid
off 22.8.1856 at Portsmouth. Recommissioned 24.8.1856 under Capt. Charles Barker, for the Channel fleet; in 3.1857 to East Indies and China (invalided 26.1.1859); on 26.1.1859 under Capt. Peter
Cracraft, then on 15.2.1859 under Capt. (Commodore, 27.4.1859) Harry Edmund Edgell; at Hankow
11.1859; paid off 22.12.1860 at Portsmouth. Sold to Castle &amp; Beech 15.7.1864 to BU at Charlton.</t>
    <phoneticPr fontId="1"/>
  </si>
  <si>
    <t>P</t>
    <phoneticPr fontId="1"/>
  </si>
  <si>
    <t>Prefix</t>
    <phoneticPr fontId="1"/>
  </si>
  <si>
    <t>strata_no</t>
    <phoneticPr fontId="1"/>
  </si>
  <si>
    <t>serial_no</t>
    <phoneticPr fontId="1"/>
  </si>
  <si>
    <t>CLASS</t>
    <phoneticPr fontId="1"/>
  </si>
  <si>
    <t>Name</t>
    <phoneticPr fontId="1"/>
  </si>
  <si>
    <t>ID</t>
    <phoneticPr fontId="1"/>
  </si>
  <si>
    <t>text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</si>
</sst>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7F609-5CE4-2F4F-8FD0-F644762301A0}">
  <dimension ref="A1:H4"/>
  <sheetViews>
    <sheetView tabSelected="1" topLeftCell="A3" zoomScale="58" zoomScaleNormal="100" workbookViewId="0">
      <selection activeCell="C7" sqref="C7"/>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10</v>
      </c>
      <c r="B1" t="s">
        <v>11</v>
      </c>
      <c r="C1" t="s">
        <v>12</v>
      </c>
      <c r="D1" t="s">
        <v>13</v>
      </c>
      <c r="E1" t="s">
        <v>14</v>
      </c>
      <c r="F1" t="s">
        <v>15</v>
      </c>
      <c r="G1" t="s">
        <v>16</v>
      </c>
      <c r="H1" t="s">
        <v>17</v>
      </c>
    </row>
    <row r="2" spans="1:8" ht="378">
      <c r="A2" t="s">
        <v>0</v>
      </c>
      <c r="B2" t="s">
        <v>1</v>
      </c>
      <c r="C2">
        <v>1</v>
      </c>
      <c r="D2">
        <v>2</v>
      </c>
      <c r="E2" t="s">
        <v>2</v>
      </c>
      <c r="F2" t="s">
        <v>3</v>
      </c>
      <c r="G2" t="str">
        <f>_xlfn.CONCAT("myData:", B2, "_", TEXT(D2, "0000"))</f>
        <v>myData:PF_0002</v>
      </c>
      <c r="H2" s="1" t="s">
        <v>4</v>
      </c>
    </row>
    <row r="3" spans="1:8" ht="336">
      <c r="A3" t="s">
        <v>0</v>
      </c>
      <c r="B3" t="s">
        <v>1</v>
      </c>
      <c r="C3">
        <v>2</v>
      </c>
      <c r="D3">
        <v>3</v>
      </c>
      <c r="E3" t="s">
        <v>2</v>
      </c>
      <c r="F3" t="s">
        <v>5</v>
      </c>
      <c r="G3" t="str">
        <f>_xlfn.CONCAT("myData:", B3, "_", TEXT(D3, "0000"))</f>
        <v>myData:PF_0003</v>
      </c>
      <c r="H3" s="1" t="s">
        <v>6</v>
      </c>
    </row>
    <row r="4" spans="1:8" ht="336">
      <c r="A4" t="s">
        <v>0</v>
      </c>
      <c r="B4" t="s">
        <v>1</v>
      </c>
      <c r="C4">
        <v>3</v>
      </c>
      <c r="D4">
        <v>8</v>
      </c>
      <c r="E4" t="s">
        <v>7</v>
      </c>
      <c r="F4" t="s">
        <v>8</v>
      </c>
      <c r="G4" t="str">
        <f>_xlfn.CONCAT("myData:", B4, "_", TEXT(D4, "0000"))</f>
        <v>myData:PF_0008</v>
      </c>
      <c r="H4" s="1" t="s">
        <v>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2025-11-10T05:36:20Z</dcterms:created>
  <dcterms:modified xsi:type="dcterms:W3CDTF">2025-11-10T05:39:36Z</dcterms:modified>
</cp:coreProperties>
</file>
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naoki_kokaze/Library/CloudStorage/Dropbox/Digital_Humanities/2025年度/じんもんこん/軍艦キャリア/Strata/"/>
    </mc:Choice>
  </mc:AlternateContent>
  <xr:revisionPtr revIDLastSave="0" documentId="8_{0F29391F-A575-0045-8731-4FE497593CBB}" xr6:coauthVersionLast="47" xr6:coauthVersionMax="47" xr10:uidLastSave="{00000000-0000-0000-0000-000000000000}"/>
  <bookViews>
    <workbookView xWindow="21440" yWindow="6940" windowWidth="27100" windowHeight="15860" xr2:uid="{7222ACEC-7F6A-7C4C-910D-6ED02B771C1A}"/>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1" l="1"/>
  <c r="G11" i="1"/>
  <c r="G10" i="1"/>
  <c r="G9" i="1"/>
  <c r="G8" i="1"/>
  <c r="G7" i="1"/>
  <c r="G6" i="1"/>
  <c r="G5" i="1"/>
  <c r="G4" i="1"/>
  <c r="G3" i="1"/>
  <c r="G2" i="1"/>
</calcChain>
</file>

<file path=xl/sharedStrings.xml><?xml version="1.0" encoding="utf-8"?>
<sst xmlns="http://schemas.openxmlformats.org/spreadsheetml/2006/main" count="58" uniqueCount="37">
  <si>
    <t>P</t>
    <phoneticPr fontId="1"/>
  </si>
  <si>
    <t>Prefix</t>
    <phoneticPr fontId="1"/>
  </si>
  <si>
    <t>strata_no</t>
    <phoneticPr fontId="1"/>
  </si>
  <si>
    <t>serial_no</t>
    <phoneticPr fontId="1"/>
  </si>
  <si>
    <t>CLASS</t>
    <phoneticPr fontId="1"/>
  </si>
  <si>
    <t>Name</t>
    <phoneticPr fontId="1"/>
  </si>
  <si>
    <t>ID</t>
    <phoneticPr fontId="1"/>
  </si>
  <si>
    <t>text</t>
    <phoneticPr fontId="1"/>
  </si>
  <si>
    <t>Paddle / Misc</t>
    <phoneticPr fontId="1"/>
  </si>
  <si>
    <t>PM</t>
    <phoneticPr fontId="1"/>
  </si>
  <si>
    <t>MERLIN</t>
    <phoneticPr fontId="1"/>
  </si>
  <si>
    <t>Medina</t>
    <phoneticPr fontId="1"/>
  </si>
  <si>
    <t>Medina Pembroke Dyd/Fawcett, Preston &amp; Co.
Ord: 30.3.1839. K: 6.1839. L: 18.3.1840. C: 4.1840 (commission).
First cost: Hull £16,411, fitting £21,311 (including machinery £14,767).
Commissioned 1 9.10.1848 under Lieut Abraham Darby, for the Mediterranean; on 23.1.1851 under Lieut
Louis Rivett Reynolds, then 4.5.1854 under Lieut Henry Barre Beresford, then 7.1.1856 as survey vessel
under Capt. Thomas Abel Brimage Sprat, all in the Mediterranean; paid off 10.11.1863 at Malta. BU
there 3.1864.</t>
    <phoneticPr fontId="1"/>
  </si>
  <si>
    <t>VIVID</t>
    <phoneticPr fontId="1"/>
  </si>
  <si>
    <t>Vivid</t>
    <phoneticPr fontId="1"/>
  </si>
  <si>
    <t>Vivid Chatham Dyd/John Penn &amp; Sons
Ord: 4.2.1847 (named 13.2.1847). K: 5.1.1847. L: 7.2.1848. C: 7.4.1848 at Chatham (after machinery fitted
at Deptford).
Commissioned 2.1848 under Luke Smithett, Master, for the mail packet service at Dover. In 5.1854 under
Henry W. Allen, Master, as tender to Fisguard at Woolwich (-1860); in 2.1865 under Timothy W. Sulivan,
Master, on same service. Recommissioned 10.1872 under John Thompson, Master as tender to
Royal Adelaide and Port Admiral's yacht at Devonport (-1875); in 11.1878 under John R. Ryan, Master,
on same service. On 14.8.1882 under Cmdr John Gravener, then on 1886 under ?Thomas Robinson,
as tender to Royal Albert. On 8.10.1888 under Cmdr George James Tomlin, as flagship from 11.1888
of Adm. Sir William Montagu Dowell at Devonport; in 4.1890 flagship of HRH (and Adm.) Prince Alfred
Ernest Albert, the Duke of Edinburgh. Sold to G. Cowen &amp; Sons 5.1894.</t>
    <phoneticPr fontId="1"/>
  </si>
  <si>
    <t>PSYCHE</t>
    <phoneticPr fontId="1"/>
  </si>
  <si>
    <t>Helicon</t>
    <phoneticPr fontId="1"/>
  </si>
  <si>
    <t>Helicon Portsmouth Dyd/Miller, Ravenhill &amp; Salkeld (1,61 0ihp = 1 4½kts)
As built: 220ft Qin, about 1 97ft Oin x 28ft 3in x 1 4ft 6in. 837bm. 945 disp. Draught 9ft 1 1 in/1 Oft 3in.
Ord: 1 861. K: 30.5.1 861 . L: 31.1.1865. C: 1 886.
Commissioned 9.1 865 under Cmdr Morgan Singer, for the Channel Squadron; on 1 0.8.1866 under Cmdr
Edward Field, then 6.1869 under Cmdr Henry Edward Crozier, on same station. In 7.1872 under Lieut
Frank A. Rougemont, tor the Mediterranean; in 7 .1 875 under Lieut Attwell Peregrine Macleod Lake,
then 1.1 879 under Lieut Sir Baldwin Wake Walker, on same station. In 1882 under Lieut William Llewellyn
Morrison, then 1 6.8.1882 under Lieut Alfred Leigh Winsloe, tor Suez patrol; on 8.1.1 884 under Staff
Capt. William Wallis Vine, but Winsloe was back in command tor Nile operations in 1885. Repair and
refit at Woolwich 1 887. Renamed Enchantress 1 .4.1 888, and recommissioned under Staff Capt. Henry
Emilius Wood, as tender at Portsmouth. Sold to Laidler, Sunderland 1 1 .7.1 905.</t>
    <phoneticPr fontId="1"/>
  </si>
  <si>
    <t>Vigilant</t>
    <phoneticPr fontId="1"/>
  </si>
  <si>
    <t>Vigilant Devenport Dyd/James Watt &amp; Co. (1,815ihp = 13.2kts)
As built: 220ft 0in, 200ft 33/ain x 28ft 2in (28ft 0in for tonnage) x 28ft 3in x 14ft 6in. 83521!94bm. 951 disp.
Ord: -
. K: 11.4.1870. L: 17.2.1871. C: 12.1871.
Commissioned 3.1.1872 under Cmdr Edward Hobart Seymour; paid off 14.5.1872. Recommissioned
30.6.1872 under Staff Cmdr George L. Carr, as temporary Admiralty Board yacht; on 14.1.1873 under
Staff Cmdr Robert L. Cleveland; paid off 30.6.1874. Recommissioned 1.9.1874 under Cmdr Hugh
Cuthbert Dudley Ryder, for China; in 9.1877 under Cmdr William Martin Annesley, still in China; paid
off 1880. Recommissioned 8.1884 at Hong Kong under Lieut Peyton Hoskyns. Sold 7.10.1886 at Hong
Kong.</t>
    <phoneticPr fontId="1"/>
  </si>
  <si>
    <t>ALBERTA</t>
    <phoneticPr fontId="1"/>
  </si>
  <si>
    <t>Alberta</t>
    <phoneticPr fontId="1"/>
  </si>
  <si>
    <t>Alberta Pembroke Dyd
Ord: 1863 at Pembroke Dyd. L: 3.10.1863.
Commissioned 20.8.1864 under Staff Cmdr (Capt., 8.6.1871) David Nairne Welch; damaged in collision
with Mistletoe 1875; on 1.4.1878 under Capt. Alfred Balliston, then 12.7.1883 under Capt. William Burgess
Goldsmith; on 14.10.1897 under Capt. (retd) George Alexander Broad. BU 1912 at Portsmouth.</t>
    <phoneticPr fontId="1"/>
  </si>
  <si>
    <t>LANDREIL</t>
    <phoneticPr fontId="1"/>
  </si>
  <si>
    <t>LANDRAIL Purchased 1855 [ex-mercantile Gipsy Queen, built North Shields 1854]. Wooden paddle tug of
50nhp, purchased 24 May 1855 at Constantinople by Admiral Fred. Grey for £7,500 from Mr Ward (or Wood?).
Dimensions &amp; tons: - -
. 36bm.
Sold 21.7.1856 at Constantinople by Admiral Grey to J.Parry for £2,400.</t>
    <phoneticPr fontId="1"/>
  </si>
  <si>
    <t>WALLACE</t>
    <phoneticPr fontId="1"/>
  </si>
  <si>
    <t>WALLACE Purchased 1855 [ex-mercantile - possibly Lyons, built 1854 by J. Scott Russell, Millwall]. Iron-hulled
paddle tug of 1 00nhp, purchased (at Malta?) for £9,500 by Admiral Lyons in July 1855.
Dimensions &amp; tons: 112ft 3in, 99ft 3in x 19ft 1 0½in x 1 Oft 0in. 209\4bm.
To Portsmouth 1857 and attached to the Clarence Victualling Yard. Sold 1869.</t>
    <phoneticPr fontId="1"/>
  </si>
  <si>
    <t>DRAGON</t>
    <phoneticPr fontId="1"/>
  </si>
  <si>
    <t>DRAGON Purchased 1860 [ex-mercantile Dragon, built 1 855 at Newcastle]. Wooden paddle tug of 40nhp, purchased
11 July 1860 at Malta for £1,200 for towing mud barges.
Dimensions &amp; tons: 85ft 0in, 7 4ft 1 0¾in x 16ft 1 Oin x 8ft ?in. 113bm.
Sold 1867.</t>
    <phoneticPr fontId="1"/>
  </si>
  <si>
    <t>EXPERIMENT</t>
    <phoneticPr fontId="1"/>
  </si>
  <si>
    <t>EXPERIMENT Purchased 1838 [ex-mercantile - -
, built 1838 by Niagara Dock Co.]. Former sailing ship, purchased
21 July 1838 and converted to paddle gunboat for use on Lake Huron.
Dimensions &amp; tons: 96ft 6in, 86ft 0in x 14ft 6in x 7ft 2½in. 220bm.
Men: 40? Guns: 1 x 6pdr brass on pivot + 1 x 12pdr carronade.
Machinery: Builders? 25nhp.
Commissioned 18.4.1843 under Lieut James Boxer; on 16.12.1843 under Lieut James Harper. Sold 184 7 or
1848.</t>
    <phoneticPr fontId="1"/>
  </si>
  <si>
    <t>MONTREAL</t>
    <phoneticPr fontId="1"/>
  </si>
  <si>
    <t>MONTREAL Purchased 1839 [ex-mercantile, built 1836 in Canada]. A two-masted schooner (perhaps not a paddler),
purchased 18 October 1839 for use on Lake Erie.
Dimensions &amp; tons: 82ft Oin, 65ft 0in x 20ft 6in x 9ft 0in. 145bm.
Men: 35. Guns: 1 x 18pdr SBML.
Machinery: ?
Commissioned 3.4.1843 under Cmdr William Newton Fowell; on 10.8.1843 under Lieut John Tyssen; paid
off 8.1848 and sold 1848.</t>
    <phoneticPr fontId="1"/>
  </si>
  <si>
    <t>MOHAWK</t>
    <phoneticPr fontId="1"/>
  </si>
  <si>
    <t>Mohawk</t>
    <phoneticPr fontId="1"/>
  </si>
  <si>
    <t>Mohawk William Fairbairn &amp; Co., Millwall/William Fairbairn
Ord: 6.1 841 . K: 1 84 1 . Delivered in pieces 1 1 .1841 for shipment to Canada. L: 21.2.1843 after assembly at
Kingston Yard, Lake Ontario.
Commissioned 3.4.1 843 under Lieut John William Bedford; on 26.7.1 843 under Cmdr William Newton
Fowell, then 1 .7.1846 under Lieut John Tyssen and 26.8.1 848 under Lieut Frederick Charles Herbert.
Sold 21 .6.1 852 to J . F.Parke for £1,643.</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</si>
</sst>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50322-12F0-984E-90B8-91A5F425EEFE}">
  <dimension ref="A1:H12"/>
  <sheetViews>
    <sheetView tabSelected="1" zoomScale="66" workbookViewId="0">
      <selection activeCell="B3" sqref="B3"/>
    </sheetView>
  </sheetViews>
  <sheetFormatPr baseColWidth="10" defaultRowHeight="20"/>
  <cols>
    <col min="1" max="1" width="35.28515625" bestFit="1" customWidth="1"/>
    <col min="2" max="2" width="7.7109375" bestFit="1" customWidth="1"/>
    <col min="5" max="5" width="31.140625" bestFit="1" customWidth="1"/>
    <col min="6" max="6" width="21.28515625" bestFit="1" customWidth="1"/>
    <col min="7" max="7" width="19.85546875" bestFit="1" customWidth="1"/>
    <col min="8" max="8" width="89.140625" customWidth="1"/>
  </cols>
  <sheetData>
    <row r="1" spans="1:8">
      <c r="A1" t="s">
        <v>0</v>
      </c>
      <c r="B1" t="s">
        <v>1</v>
      </c>
      <c r="C1" t="s">
        <v>2</v>
      </c>
      <c r="D1" t="s">
        <v>3</v>
      </c>
      <c r="E1" t="s">
        <v>4</v>
      </c>
      <c r="F1" t="s">
        <v>5</v>
      </c>
      <c r="G1" t="s">
        <v>6</v>
      </c>
      <c r="H1" t="s">
        <v>7</v>
      </c>
    </row>
    <row r="2" spans="1:8" ht="147">
      <c r="A2" t="s">
        <v>8</v>
      </c>
      <c r="B2" t="s">
        <v>9</v>
      </c>
      <c r="C2">
        <v>1</v>
      </c>
      <c r="D2">
        <v>7</v>
      </c>
      <c r="E2" t="s">
        <v>10</v>
      </c>
      <c r="F2" t="s">
        <v>11</v>
      </c>
      <c r="G2" t="str">
        <f>_xlfn.CONCAT("myData:", B2, "_", TEXT(D2, "0000"))</f>
        <v>myData:PM_0007</v>
      </c>
      <c r="H2" s="1" t="s">
        <v>12</v>
      </c>
    </row>
    <row r="3" spans="1:8" ht="231">
      <c r="A3" t="s">
        <v>8</v>
      </c>
      <c r="B3" t="s">
        <v>9</v>
      </c>
      <c r="C3">
        <v>2</v>
      </c>
      <c r="D3">
        <v>17</v>
      </c>
      <c r="E3" t="s">
        <v>13</v>
      </c>
      <c r="F3" t="s">
        <v>14</v>
      </c>
      <c r="G3" t="str">
        <f>_xlfn.CONCAT("myData:", B3, "_", TEXT(D3, "0000"))</f>
        <v>myData:PM_0017</v>
      </c>
      <c r="H3" s="1" t="s">
        <v>15</v>
      </c>
    </row>
    <row r="4" spans="1:8" ht="231">
      <c r="A4" t="s">
        <v>8</v>
      </c>
      <c r="B4" t="s">
        <v>9</v>
      </c>
      <c r="C4">
        <v>3</v>
      </c>
      <c r="D4">
        <v>25</v>
      </c>
      <c r="E4" t="s">
        <v>16</v>
      </c>
      <c r="F4" t="s">
        <v>17</v>
      </c>
      <c r="G4" t="str">
        <f>_xlfn.CONCAT("myData:", B4, "_", TEXT(D4, "0000"))</f>
        <v>myData:PM_0025</v>
      </c>
      <c r="H4" s="1" t="s">
        <v>18</v>
      </c>
    </row>
    <row r="5" spans="1:8" ht="210">
      <c r="A5" t="s">
        <v>8</v>
      </c>
      <c r="B5" t="s">
        <v>9</v>
      </c>
      <c r="C5">
        <v>4</v>
      </c>
      <c r="D5">
        <v>28</v>
      </c>
      <c r="E5" t="s">
        <v>16</v>
      </c>
      <c r="F5" t="s">
        <v>19</v>
      </c>
      <c r="G5" t="str">
        <f>_xlfn.CONCAT("myData:", B5, "_", TEXT(D5, "0000"))</f>
        <v>myData:PM_0028</v>
      </c>
      <c r="H5" s="1" t="s">
        <v>20</v>
      </c>
    </row>
    <row r="6" spans="1:8" ht="105">
      <c r="A6" t="s">
        <v>8</v>
      </c>
      <c r="B6" t="s">
        <v>9</v>
      </c>
      <c r="C6">
        <v>5</v>
      </c>
      <c r="D6">
        <v>32</v>
      </c>
      <c r="E6" t="s">
        <v>21</v>
      </c>
      <c r="F6" t="s">
        <v>22</v>
      </c>
      <c r="G6" t="str">
        <f>_xlfn.CONCAT("myData:", B6, "_", TEXT(D6, "0000"))</f>
        <v>myData:PM_0032</v>
      </c>
      <c r="H6" s="1" t="s">
        <v>23</v>
      </c>
    </row>
    <row r="7" spans="1:8" ht="105">
      <c r="A7" t="s">
        <v>8</v>
      </c>
      <c r="B7" t="s">
        <v>9</v>
      </c>
      <c r="C7">
        <v>6</v>
      </c>
      <c r="D7">
        <v>53</v>
      </c>
      <c r="F7" t="s">
        <v>24</v>
      </c>
      <c r="G7" t="str">
        <f>_xlfn.CONCAT("myData:", B7, "_", TEXT(D7, "0000"))</f>
        <v>myData:PM_0053</v>
      </c>
      <c r="H7" s="1" t="s">
        <v>25</v>
      </c>
    </row>
    <row r="8" spans="1:8" ht="84">
      <c r="A8" t="s">
        <v>8</v>
      </c>
      <c r="B8" t="s">
        <v>9</v>
      </c>
      <c r="C8">
        <v>7</v>
      </c>
      <c r="D8">
        <v>61</v>
      </c>
      <c r="F8" t="s">
        <v>26</v>
      </c>
      <c r="G8" t="str">
        <f>_xlfn.CONCAT("myData:", B8, "_", TEXT(D8, "0000"))</f>
        <v>myData:PM_0061</v>
      </c>
      <c r="H8" s="1" t="s">
        <v>27</v>
      </c>
    </row>
    <row r="9" spans="1:8" ht="105">
      <c r="A9" t="s">
        <v>8</v>
      </c>
      <c r="B9" t="s">
        <v>9</v>
      </c>
      <c r="C9">
        <v>8</v>
      </c>
      <c r="D9">
        <v>63</v>
      </c>
      <c r="F9" t="s">
        <v>28</v>
      </c>
      <c r="G9" t="str">
        <f>_xlfn.CONCAT("myData:", B9, "_", TEXT(D9, "0000"))</f>
        <v>myData:PM_0063</v>
      </c>
      <c r="H9" s="1" t="s">
        <v>29</v>
      </c>
    </row>
    <row r="10" spans="1:8" ht="168">
      <c r="A10" t="s">
        <v>8</v>
      </c>
      <c r="B10" t="s">
        <v>9</v>
      </c>
      <c r="C10">
        <v>9</v>
      </c>
      <c r="D10">
        <v>68</v>
      </c>
      <c r="F10" t="s">
        <v>30</v>
      </c>
      <c r="G10" t="str">
        <f>_xlfn.CONCAT("myData:", B10, "_", TEXT(D10, "0000"))</f>
        <v>myData:PM_0068</v>
      </c>
      <c r="H10" s="1" t="s">
        <v>31</v>
      </c>
    </row>
    <row r="11" spans="1:8" ht="168">
      <c r="A11" t="s">
        <v>8</v>
      </c>
      <c r="B11" t="s">
        <v>9</v>
      </c>
      <c r="C11">
        <v>10</v>
      </c>
      <c r="D11">
        <v>70</v>
      </c>
      <c r="F11" t="s">
        <v>32</v>
      </c>
      <c r="G11" t="str">
        <f>_xlfn.CONCAT("myData:", B11, "_", TEXT(D11, "0000"))</f>
        <v>myData:PM_0070</v>
      </c>
      <c r="H11" s="1" t="s">
        <v>33</v>
      </c>
    </row>
    <row r="12" spans="1:8" ht="126">
      <c r="A12" t="s">
        <v>8</v>
      </c>
      <c r="B12" t="s">
        <v>9</v>
      </c>
      <c r="C12">
        <v>11</v>
      </c>
      <c r="D12">
        <v>72</v>
      </c>
      <c r="E12" t="s">
        <v>34</v>
      </c>
      <c r="F12" t="s">
        <v>35</v>
      </c>
      <c r="G12" t="str">
        <f>_xlfn.CONCAT("myData:", B12, "_", TEXT(D12, "0000"))</f>
        <v>myData:PM_0072</v>
      </c>
      <c r="H12" s="1" t="s">
        <v>36</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小風 尚樹</dc:creator>
  <cp:lastModifiedBy>小風 尚樹</cp:lastModifiedBy>
  <dcterms:created xsi:type="dcterms:W3CDTF">2025-11-10T05:41:04Z</dcterms:created>
  <dcterms:modified xsi:type="dcterms:W3CDTF">2025-11-10T05:41:30Z</dcterms:modified>
</cp:coreProperties>
</file>
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8_{27F01E18-4661-DC45-910F-329C7A93B2BB}" xr6:coauthVersionLast="47" xr6:coauthVersionMax="47" xr10:uidLastSave="{00000000-0000-0000-0000-000000000000}"/>
  <bookViews>
    <workbookView xWindow="21440" yWindow="6940" windowWidth="27100" windowHeight="15860" xr2:uid="{08ECF4D1-1DC2-8A40-BFA2-6C2C4CE61067}"/>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6" i="1" l="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<sst xmlns="http://schemas.openxmlformats.org/spreadsheetml/2006/main" count="183" uniqueCount="91">
  <si>
    <t>Genre</t>
    <phoneticPr fontId="1"/>
  </si>
  <si>
    <t>Prefix</t>
    <phoneticPr fontId="1"/>
  </si>
  <si>
    <t>strata_no</t>
    <phoneticPr fontId="1"/>
  </si>
  <si>
    <t>serial_no</t>
    <phoneticPr fontId="1"/>
  </si>
  <si>
    <t>CLASS</t>
    <phoneticPr fontId="1"/>
  </si>
  <si>
    <t>Name</t>
    <phoneticPr fontId="1"/>
  </si>
  <si>
    <t>ID</t>
    <phoneticPr fontId="1"/>
  </si>
  <si>
    <t>text</t>
    <phoneticPr fontId="1"/>
  </si>
  <si>
    <t>Screw / Gunvessel and Gunboat</t>
    <phoneticPr fontId="1"/>
  </si>
  <si>
    <t>SCGVG</t>
    <phoneticPr fontId="1"/>
  </si>
  <si>
    <t>MINX</t>
    <phoneticPr fontId="1"/>
  </si>
  <si>
    <t>Minx</t>
    <phoneticPr fontId="1"/>
  </si>
  <si>
    <t>Minx Miller, Ravenhill &amp; Co., Blackwall/Miller, Ravenhill &amp; Co.
Ord: 22.5.1845. K: 5.9.1845. L: 5.9.1846. C: 2.1854-4.6.1854 at Deptford &amp; Woolwich (for sea).
First cost: £13,677 (including hull £5,182; machinery £4,518).
Commanded from 5.1847 by Lieut Robert Robertson. Fitted between 6.1847 and 9.1848 with a variety of
screws to designs of Woodcroft and Atherton, achieving speeds of between 7.44 and 8.84 knots. Reengined
(by AO of 3.1. 1849) 1-6.1849 at Woolwich with a Seaward &amp; Capel 2-cylinder (9\6in diameter,
9in stroke) horizontal, oscillating engine of 1 0nhp (36ihp = 5.44kts). After re-engining, continued
with screw experiments until 1.1850 then laid up.
Commissioned 9.5.1854 under Lieut Cmdr Herbert Thomas Ryves, for west coast of Africa; on 16.3.1855
under Lieut Cmdr Richard Henry Roe, on same station; paid off 25.4.1857 at Woolwich and laid up.
Converted at Woolwich to water tank steamer (for £2,601) 1859, for Portland; by 1870 to Plymouth.
Sold 15.12.1899.</t>
    <phoneticPr fontId="1"/>
  </si>
  <si>
    <t>VIGILANT</t>
    <phoneticPr fontId="1"/>
  </si>
  <si>
    <t>Alacrity</t>
    <phoneticPr fontId="1"/>
  </si>
  <si>
    <t>Alacrity C. J. Mare &amp; Co., Blackwall/Miller, Ravenhill &amp; Co. (724ihp = 1.87kts)
Ord: 15.5.1855. K: 21.5.1855. L: 20.3.1856. C: 20.4.1856.
First cost: £31,220 (including £12,689 for hull and £12,049 for machinery).
Commissioned 3.1856 under Cmdr Henry Cholmeley Majendie; on 23.2.1857 under Cmdr Armine Wodehouse;
paid off 20.2.1858. Recommissioned 23.12.1859 under Cmdr John Kennedy Erskine Baird, for
the Mediterranean; paid off 8.1863. Sold to Castle 7.10.1864 to BU at Charlton.</t>
    <phoneticPr fontId="1"/>
  </si>
  <si>
    <t>Ringdove</t>
    <phoneticPr fontId="1"/>
  </si>
  <si>
    <t>Ringdove T. &amp; J. White, West Cowes/Miller, Ravenhill &amp; Co. (677ihp = 10.824kts)
Ord: 26.7.1855. K: 30.7.1855. L: 22.2.1856. C: 31.5.1856.
First cost: £31,748 (including £13,313 for hull and £12,161 for machinery).
Commissioned 2.1856 under Cmdr Isaac Newton T homas Saulez. Recommissioned 20.9.1859 under Cmdr
Robert George Craigie, for the East Indies and China; in Taiping Rebellion; on 16.9.1862 under Cmdr
Ralph Abercrombie Otho Brown, on same station; paid off 10.12.1864 at Portsmouth. Sold 2.6.1865
and arrived Cowes 26.9.1866 to BU 11.1866 by White.</t>
    <phoneticPr fontId="1"/>
  </si>
  <si>
    <t>Mohawk</t>
    <phoneticPr fontId="1"/>
  </si>
  <si>
    <t>Mohawk Young, Magnay &amp; Co., Limehouse/Humphrys, Tennant &amp; Dykes (642ihp = 10.721 kts)
Ord: 26.7.1855. K: 6.8.1855. L: 11.1.1856. C: 23.3.1856.
First cost: £33,095 (including £14,304 for hull and £11,996 for machinery).
Commissioned 26.1.1856 under Cmdr Francis Arden Close. Recommssioned 16.7.1857 under Cmdr
Patrick Charles Campbell McDougall, for the East Indies and China. Recommissioned 30.5.1860 under
Cmdr Edward Henry Howard, for the Mediterranean; paid off 25.10.1861 at Plymouth. Sold 20.9.1862
to the Chinese Imperial Customs, renamed Peking and sailed 4.1863 (to join Capt. Sherard Osborn's
'Vampire Fleet'), but returned to England when agreement with Chinese government collapsed Resold
30.12.1865 to the Egyptian government.</t>
    <phoneticPr fontId="1"/>
  </si>
  <si>
    <t>Assurance</t>
    <phoneticPr fontId="1"/>
  </si>
  <si>
    <t>Assur ance R. &amp; H. Green, Blackwall/Miller, Raven hill &amp; Co. (7 45ihp = 11.142kts)
Ord: 26.7.1855. K: 26.8.1855. L: 13.3.1856. C: 16.4.1856 at Chatham (for sea).
First cost: £32,517 (including £14,711 for hull and £12,042 for machinery).
Commissioned 3.1856 at Chatham under Cmdr William Gore Jones. Recommissioned 17.7.1857 under
Cmdr Charles Murray Aynsley, for the East Indies and China. Recommissioned 9.5.1864 under Cmdr
Henry Bedford Woolcombe, for the Mediterranean. In 5.1866 under Cmdr William Henry Pym; to West
Africa station 4.1867. On 4.9.1867 under Cmdr John Binney Scott. Sold to Marshall, Plymouth, on
8.3.1870 to BU.</t>
    <phoneticPr fontId="1"/>
  </si>
  <si>
    <t>INTREPID</t>
    <phoneticPr fontId="1"/>
  </si>
  <si>
    <t>Pioneer</t>
    <phoneticPr fontId="1"/>
  </si>
  <si>
    <t>Pioneer Pembroke Dyd/Miller, Ravenhill &amp; Salkeld (1, 150ihp = 11 .332kts)
Ord: 18.4.1855. K: 7.1855. L: 19.1.1856. C: 31.5.1856.
First cost: £48,966 (£20,407 for hull, £21,350 machinery, £7,209 fitting)
Commissioned 8.1.1856 at Portsmouth under Cmdr George Pechell Mends, for North America and the
West Indies. Recommissioned 7.5.1859 at Portsmouth under Cmdr Charles Henry May, for the Channel
squadron, then to China; on 27.6.1859 under Cmdr Hugh Arthur Reilly, in the East Indies and
China; in action for Taiping Rebellion; to Australia 1862; on 17.8.1862 under Acting Cmdr Frederick
Charles Bryan Robinson, in Australia; paid off 22.9.1863 at Plymouth. Sold to Marshall 10.1864 to BU
1865 at Plymouth.</t>
    <phoneticPr fontId="1"/>
  </si>
  <si>
    <t>Intrepid</t>
    <phoneticPr fontId="1"/>
  </si>
  <si>
    <t>Intrepid Wigram &amp; Son, Blackwall/Maudslay, Sons &amp; Field (930ihp = 10.35kts)
Ord: 15.5.1855. K: 24.5.1855. L: 13.11.1855. C: 4.4.1856.
First cost: £46,114 (£16,382 for hull, £24,339 machinery, £5,393 fitting)
Commissioned 6.12.1855 under Commander William Wood, for North America and the West Indies; on
25.9.1857 under John Waye, Master, at Devenport. Recommissioned 4.5.1859 under Cmdr Joseph
Henry Marryat, for the Mediterranean; paid off 25.6.1862 at Plymouth. Sold to Marshall 7.10.1864 to
BU 1865 at Plymouth.</t>
    <phoneticPr fontId="1"/>
  </si>
  <si>
    <t>PHILOMEL (RANGER)</t>
    <phoneticPr fontId="1"/>
  </si>
  <si>
    <t>Pandora</t>
    <phoneticPr fontId="1"/>
  </si>
  <si>
    <t>Pand ora Pembroke Dyd/C. A. Day &amp; Co. (346ihp = 9.387kts)
Ord: 8.4.1859. K: 30.3.1860. L: 7.2.1861. C: -
.
Commissioned 19.3.1863 at Portsmouth under Cmdr William Fitzherbert Ruxton, for the west coast of
Africa; on 18.12.1865 under Cmdr Ernest Augustus Travers Stubbs; paid off 21.2.1867 at Portsmouth.
Recommissioned 24.8.1868 under Cmdr John Burgess, for the same station; to the Mediterranean
4.1869; paid off 36.7.1872. Sold 13.1.1875 to Allen Young for polar exploration; she was re-sold to
James Gordon Bennett Jnr in 1878, and renamed Jeanette, departing for a further polar voyage in
7.1879, but was crushed by the Arctic ice and sank on 13.6.1881.</t>
    <phoneticPr fontId="1"/>
  </si>
  <si>
    <t>Penguin</t>
    <phoneticPr fontId="1"/>
  </si>
  <si>
    <t>Penguin W. C. Miller, Toxteth Dock, Liverpool/Robert Napier &amp; Sons (365ihp = 11.078kts)
Ord: 14.6.1859. K: 29.6.1859. L: 8.2.1860. C: 13.3.1861 at Devenport.
Commissioned 26.12.1860 at Plymouth under Lieut John George Graham McHady, for the Cape of Good
Hope, as tender to Narcissus. Recommissioned 17.2.1864 under Lieut Edmund St John Garforth, for
the East Indies and Cape (later East Indies) as tender to Princess Royal; paid off 1 3.8.1868 at Devenport.
Sold to Lethbridge &amp; Drew 26.2.1870 to BU.</t>
    <phoneticPr fontId="1"/>
  </si>
  <si>
    <t>Mullet</t>
    <phoneticPr fontId="1"/>
  </si>
  <si>
    <t>Mullet Charles Lungley, Rotherhithe/Robert Napier &amp; Sons (355ihp = 10.067kts)
Ord: 14.6.1859. K: 29.6.1859. L: 3.2.1860. C: 30.4.1862 at Deptford, later to Sheerness (for Reserve).
Commissioned 20.3.1862 at Sheerness under Cmdr Corland Herbert Simpson, for the west coast of Africa;
paid off 1865 at Sheerness. Recommissioned 30.4.1866 under Cmdr Charles Aylmer Pembroke Vallancey
Robinson, for west coast of Africa; on 7.11.1 867 under Cmdr Edward Kelly, for North America
and the West Indies; paid off 1 9.7.1870 at Sheerness. Believed sold in UK for mercantile use, then resold
25.4.1872 at Hong Kong for mercantile use, renamed Formosa.</t>
    <phoneticPr fontId="1"/>
  </si>
  <si>
    <t>Newport</t>
    <phoneticPr fontId="1"/>
  </si>
  <si>
    <t>Newport Pembroke Dyd/Laird Brothers (325ihp = 9.25kts)
Ord: 5.3.1860. K: 17.9.1860. Suspended 1862/63. L: 20.7.1867. C: 4.1868 as survey ship.
Commissioned 31.3.1868 under Cmdr George Strong Nares, for hydrographic work in the Mediterranean;
by 1871 surveying in Red Sea; paid off 8.6.1871 at Sheerness, later to Chatham. Sold 5.1881 to Sir
Allen Young for polar expedition, and renamed Pandora II. Re-sold in 1890 and renamed Blencathra;
subsequently sold again in 1912 and employed in Russian expeditions to open up a Northeast Passage,
but was lost in the Arctic ice.</t>
    <phoneticPr fontId="1"/>
  </si>
  <si>
    <t>Jaseur</t>
    <phoneticPr fontId="1"/>
  </si>
  <si>
    <t>Jaseur Deptford Dyd / -
Ord: 5.3.1860. K: 7.1.1861. L: 15.5.1862. C: -
.
Commissioned 6.4.1863 at Sheerness under Cmdr Walter James Hunt-Grubbe, for the west coast of Africa;
paid off 13.2.1867 at Sheerness. Recommissioned 16.8.1867 under Cmdr Charles Frederick Hotham,
for the Mediterranean; ordered home 6.1871 and paid off at Sheerness, later to Chatham. Sold to the
Commissioners of the Irish Lighthouses in 12.1874.</t>
    <phoneticPr fontId="1"/>
  </si>
  <si>
    <t>GLEANER</t>
    <phoneticPr fontId="1"/>
  </si>
  <si>
    <t>Pincher</t>
    <phoneticPr fontId="1"/>
  </si>
  <si>
    <t>Pincher W. &amp; H. Pitcher, Northfleet/John Penn &amp; Sons (215ihp)
Ord: 1 6.6.1 854. K: 29.6.1 854. L: 5.9.1 854. C: 28.3.1 855.
First cost: £8,730 (including £3,397 for hull, £3,481 for machinery).
Commissioned 3.1 855 under Lieut Keith Stewart, for the Baltic (during the Russian War) as tender to Blenheim;
on 28.1 1 . 1855 under Lieut Alfred Frederik Marescaux, at Portsmouth, still tender to Blenheim;
paid off there 2.7.1 856. BU completed 1 7.2.1864 there.</t>
    <phoneticPr fontId="1"/>
  </si>
  <si>
    <t>Ruby</t>
    <phoneticPr fontId="1"/>
  </si>
  <si>
    <t>Ruby Deptford Dyd/John Penn &amp; Sons
Ord: 1 6.6.1 854. K: 29.6.1854. L: 7.10.1 854. C: 8.3.1855.
First cost: £9,840 (including £5,679 for hull, £3,277 for machinery).
Commissioned 24.7.1 855 under Lieut Henry George Hale, for the Baltic (during the Russian War) as tender
to Majestic; paid off 1 0.9.1 856 at Sheerness. Recommissioned 26.6.1858 under Lieut Robert John
Stotherd, as tender to Cornwallis, on the Humber; in 2.1 859 under Lieut William Vicary, as tender to
Dauntless, on the Humber. BU 10. 1868 at Devenport.</t>
    <phoneticPr fontId="1"/>
  </si>
  <si>
    <t>DAPPER</t>
    <phoneticPr fontId="1"/>
  </si>
  <si>
    <t>Hind</t>
    <phoneticPr fontId="1"/>
  </si>
  <si>
    <t>Hind John Jenkins Thompson, Rotherhithe/Maudslay, Sons &amp; Field (216ihp)
Ord: 6.10.1854. K: 18.10.1854. L: 3.5.1855. C: 4.6.1855.
First cost: £10,324 (including £4,471 for hull, £3,475 for machinery).
Commissioned 25.5.1855 under Lieut John Ward, to the Baltic as tender to Cornwallis; paid off 29.10.1855.
From 2.1858 coastguard reserve vessel at Falmouth, as tender to Russe/1 1 858- 64, then to St Geor ge
1864-69. Move to Liverpool 1870, as tender to Mersey to 1871. BU 10.1872 at Devonport.</t>
    <phoneticPr fontId="1"/>
  </si>
  <si>
    <t>ALBACORE</t>
    <phoneticPr fontId="1"/>
  </si>
  <si>
    <t>Whiting</t>
    <phoneticPr fontId="1"/>
  </si>
  <si>
    <t>Whiting Wigram &amp; Son, Northam/John Penn &amp; Sons (183ihp)
Ord: 18.4.1855. K: 28.5.1855. L: 9.1.1856. C: 8.2.1856.
First cost: £9,538 ( £4,140 for hull, £3,611 for machinery, £1,787 fitting).
Commissioned 14.2.1856 under Lieut lltid Thomas Mansel Nicholl; paid off 2.7.1856 at Portsmouth into
Steam Reserve. Stored in Gunboat Shed at Haslar from 10.3.1857. A survey in 7.1860 reported her
'sap and rot, fore and aft; not a sound timber in her'; refitted (re-timbered and planked) at Portsmouth
1861. In 3.1866 to Queenstown, as tender initially to Black Prince, later to Mersey; paid off 24.9.1869.
In 8.1870 to Devenport, as tender to lndus. BU 12.1881.</t>
    <phoneticPr fontId="1"/>
  </si>
  <si>
    <t>Grasshopper</t>
    <phoneticPr fontId="1"/>
  </si>
  <si>
    <t>Grasshopper W. &amp; H. Pitcher, Northfleet/Maudslay, Sons &amp; Field (223ihp)
Ord: 30.6.1855. K: 14.9.1855. L: 12.1.1856. C: 5.2.1856.
First cost: £10,397 (including £4,802 for hull, £3,374 for machinery).
Commissioned 2.1856 under Lieut William Frederick Lee; paid off 2.7.1856 at Portsmouth. On 27.9.1859
under Lieut John Collier Tucker, for the East Indies and China. On 2.12.1862 under Lieut Francis William
Bennett, then 23.11.1864 under Lieut George Digby Morant, 17.2.1866 under Lieut John Conyngham
Patterson and 5.4.1868 under Lieut Robert E. Stopford, all in China; paid off 2.5.1871. Sold
5.1871 at Newchang.</t>
    <phoneticPr fontId="1"/>
  </si>
  <si>
    <t>Staunch</t>
    <phoneticPr fontId="1"/>
  </si>
  <si>
    <t>Staunch W. &amp; H. Pitcher, Northfleet/John Penn &amp; Sons
Ord: 30.6.1855. K: 2.11.1855. L: 31.1.1856. C: 12.3.1856.
First cost: £10,722 (including £4,783 for hull, £3,410 for machinery).
Commissioned 15.2.1856 under Lieut Leveson Wildman, for the East Indies; fitted for foreign service
9.1856. On 14.11.1858 under Lieut Edwin John Pollard, for the East Indies and China (including 2nd
Anglo-Chinese War): between 30.7.1862 and 3.8.1862 stuck on a rock at Canton but managed to get
off. Recommissioned 15.5.1863 under Lieut John Smith Keats; paid off 31.12.1865. Sold 12.1866 at
Hong Kong and BU.</t>
    <phoneticPr fontId="1"/>
  </si>
  <si>
    <t>Procris</t>
    <phoneticPr fontId="1"/>
  </si>
  <si>
    <t>Procris W. &amp; H. Pitcher, Northfleet/Maudslay, Sons &amp; Field (219ihp)
Ord: 26.7.1855. K: 1 9.1 2 . 1 855. L: 13.3.1 856. C: 1 2.4. 1 856.
First cost: £10,311 (including £4,806 for hull, £3,315 for machinery).
Commissioned 31 .3.1856 under Lieut St George Caulfield D'Arcy Irvine; paid off 1 4.6.1 856 into Steam Reserve at Plymouth. Recommissioned 9.3.1861 under Lieut John Carnegie at Plymouth, 'for the service
of the Governor of Gibraltar'. On 11.7.1861 under Lieut George Palmer, then 24.6.1 862 under Lieut
John Brabazon Vivian; paid off 9.9.1865 at Plymouth. Cooking depot ship at Devenport 30.6.1869.
Sold to T. Hackling 31.5.1893 and BU at Stonehouse.</t>
    <phoneticPr fontId="1"/>
  </si>
  <si>
    <t>Shamrock</t>
    <phoneticPr fontId="1"/>
  </si>
  <si>
    <t>Shamrock W. &amp; H. Pitcher, Northfleet/John Penn &amp; Sons
Ord: 26.7.1855. K: 1 9.1 2.1 855. L: 1 3.3. 1 856. C: 9.4.1856.
First cost: £10,770 (including £4,774 for hull, £3,560 for machinery).
Commissioned 5.1 856 under Lieut William Andrew James Heath; in 6.1856 under Lieut Charles James
Bullock, for surveying on the coast of Ireland. On 1 .4.1 858 under William B. Carver, Master, as tender
to Fisgard at Woolwich; paid off 6.1 1 . 1 858. Recommissioned 1 3.4.1859 at Plymouth under Cmdr Joseph
Edge, for surveying ( -30.5.1 859). On 26.7.1 860 under Lieut Edward Wolfe Brooker, for surveying,
as tender to Fisgard at Woolwich. On 1 .1 .1863 under Capt. Henry Charles Otter, for surveying, 'carried
on the books of Fisgard'; paid off 22.9.1 866. Sold to Marshall 4.1867 to BU at Plymouth.</t>
    <phoneticPr fontId="1"/>
  </si>
  <si>
    <t>Forester</t>
    <phoneticPr fontId="1"/>
  </si>
  <si>
    <t>Forester R. &amp; H. Green, Blackwall/Maudslay, Sons &amp; Field (223ihp)
Ord: 26.7.1 855. K: 26.8.1855. L: 23. 1 . 1 856. C: 24.3.1856.
First cost: £1 0,327 (including £4,894 for hull, £3,283 for machinery).
Commissioned 20.2.1 856 under Lieut Arthur John Innes, for East Indies &amp; China (including 2nd Anglo-Chinese
War); believed laid up 1 863 at Hong Kong. Recommissioned 1 6.4.1 866 under Lieut John Edward
Stokes, for China; paid off 30.9.1867. Became yard craft YC. 7 at Hong Kong in 1 868 and was lost in a
hurricane at Hong Kong on 2.9. 1871 .</t>
    <phoneticPr fontId="1"/>
  </si>
  <si>
    <t>Prompt</t>
    <phoneticPr fontId="1"/>
  </si>
  <si>
    <t>Prompt W. &amp; H. Pitcher, Northfleet/Maudslay, Sons &amp; Field (215ihp)
Ord: 3.10.1 855. K: 25.2.1 856. L: 21.5.1 856. C: 3.1 . 1 857.
First cost: £8,840 (including £4,519 for hull, £3 ,327 for machinery).
Never commissioned; towed to Portsmouth after launch; stored in Haslar gunboat shed from 1 1 .2.1 857. BU
completed 6.5.1 864.</t>
    <phoneticPr fontId="1"/>
  </si>
  <si>
    <t>Porpoise</t>
    <phoneticPr fontId="1"/>
  </si>
  <si>
    <t>Por poise W. &amp; H. Pitcher , Northfleet/Maudslay, Sons &amp; Field (215ihp)
Ord: 3. 1 0.1 855. K: 8.3.1 856. L: 7.6.1 856. C: 29.9.1 860.
First cost: £8,632 (including £4,505 for hull, £3,027 for machinery). 
Never commissioned; moved to Woolwich after launch, for Steam Reserve. Moved to Plymouth from
5.1858; from 6.1860 tender to flagship of Channel Squadron. BU completed 22.2.1864.</t>
    <phoneticPr fontId="1"/>
  </si>
  <si>
    <t>Flamer</t>
    <phoneticPr fontId="1"/>
  </si>
  <si>
    <t>Flamer Fletcher &amp; Co., Limehouse/John Penn &amp; Sons (257ihp)
Ord: 4.10.1855. K: 26.11.1855. L: 10.4.1856. C: 10.11.1859.
First cost: £12,299 (including £4,623 for hull, £3,512 for machinery). Not commissioned until 1859; towed to
Portsmouth 10.1856 after launch, for the Steam Reserve.
Commissioned 22.9.1859 under Lieut Henry Maynard Bingham, for the East Indies and China (including
British involvement in the T aiping Rebellion); on 1.6.1863 under Lieut George Stanley Bosanquet, then
13.11.1863 under Lieut Thomas Sherlock Gooch; paid off 22.1.1866. Coastal defence in 1868. Hospital
ship 1871. Blown ashore during a typhoon 22.9.1871 at Hong Kong and the wreck then sold.</t>
    <phoneticPr fontId="1"/>
  </si>
  <si>
    <t>Rainbow</t>
    <phoneticPr fontId="1"/>
  </si>
  <si>
    <t>Rainbow Laird &amp; Co., Birkenhead/John Penn &amp; Sons (156ihp)
Ord: 8.10.1855. K: 17.10.1855. L: 8.3.1856. C: 14.4.1856.
First cost: £11,130 (including £5,658 for hull, £3,591 for machinery).
Commissioned 20.3.1856 under Lieut James Blair Grove; paid off 19.7.1856 at Portsmouth into Steam Reserve.
From 5.1860 to coastguard reserve at Kingstown (Dublin), as tender to A jax. In 3.1864 to Steam
Reserve at Plymouth. From 7.1868 to coastguard reserve at Hull, as tender to Dauntless. In 4.1872 to
Steam Reserve at Chatham. Rebuilt at Wivenhoe as RNVR training ship 187 4, then fitted at Woolwich
Dyd; from 11.1874 moored off Somerset House (London), as drill ship for RN Artillery Volunteers. Sold
to Castle 11 .1888 to BU at Charlton.</t>
    <phoneticPr fontId="1"/>
  </si>
  <si>
    <t>Raven</t>
    <phoneticPr fontId="1"/>
  </si>
  <si>
    <t>Raven Laird &amp; Co., Birkenhead/John Penn &amp; Sons
Ord: 8.10.1855. K: 17.10.1855. L: 8.3.1856. C: -
.
First cost: £11,116 (including £5,659 for hull, £3,591 for machinery).
Commissioned 20.3.1856 under Lieut Charles George Frederick Knowles; paid off 2.7.1856; stored in
Haslar gunboat shed from 16.2.1857. In 6.1860 to Steam Reserve at Portsmouth. From 2.1862 to
coastguard reserve at Pembroke Dock, as tender to Blenheim. From 5.1864 to coastguard reserve
at Kingstown (Dublin), as tender to Royal Geor ge, later to Pallas. In 8.1870 to Steam Reserve at Plymouth.
Sold to Castle 13.4.1875 to BU at Charlton.</t>
    <phoneticPr fontId="1"/>
  </si>
  <si>
    <t>Redbreast</t>
    <phoneticPr fontId="1"/>
  </si>
  <si>
    <t>Redbreast Laird &amp; Co., Birkenhead/John Penn &amp; Sons
Ord: 8.10.1855. K: 17.10.1855. L: 11.3.1856. C: 14.4.1856.
First cost: £10,376 (£5,656 for hull, £3,593 for machinery, £1,127 fitting).
Commissioned 20.3.1856 under Lieut Henry Rushworth Wratislaw; paid off 16.6.1856 at Portsmouth;
stored in Haslar gunboat shed from 27.2.1857. BU completed 24.9.1864.</t>
    <phoneticPr fontId="1"/>
  </si>
  <si>
    <t>Highlander</t>
    <phoneticPr fontId="1"/>
  </si>
  <si>
    <t>Highlander Charles Hill &amp; Sons, Bristol/Maudslay, Sons &amp; Field
Ord: 8.10.1855. K: 22.10.1 855. L: 29.4.1 856. C: -
First cost: £8,999 (including £5,630 for hull, £3,325 for machinery).
Never commissioned; stored in Haslar gunboat shed from 31.1 .1857; re-launched 12.1861 to join Steam
Reserve at Portsmouth. In 1 . 1 862 to Queenstown (Cork), for coastguard reserve, as tender to Hawke,
then to Black Prince; paid off 5.8.1 867. Became steam dredger YC.5 1 at Chatham in 1 868. Sold
5.1 884.</t>
    <phoneticPr fontId="1"/>
  </si>
  <si>
    <t>CHEERFUL</t>
    <phoneticPr fontId="1"/>
  </si>
  <si>
    <t>Dwarf</t>
    <phoneticPr fontId="1"/>
  </si>
  <si>
    <t>Dwarf Thomas Westbrook, Blackwall/John Penn &amp; Sons
Ord: 1 4.1 1 .1 855. K: 1 9.1 1 . 1 855. L: 8.4.1 856. C: 3.7.1756.
First cost: £7,166 (including £4,487 for hull, £1 ,187 for machinery).
Never commissioned. In 7.1 856 at Sheerness, for the Steam Reserve; in 8.1 860 at Chatham, also Steam
Reserve. BU 8.1 863 at Deptford Dyd.</t>
    <phoneticPr fontId="1"/>
  </si>
  <si>
    <t>Flirt</t>
    <phoneticPr fontId="1"/>
  </si>
  <si>
    <t>Flirt Joyce, Greenwich/John Penn &amp; Sons
Ord: 23.11.1855. K: 27.11.1855. L: 7.6.1856. C: 29.4.1858.
First cost: £6,043 (including £4,130 for hull, £1,147 for machinery).
Never commissioned. In 8.1856 at Deptford, for the Steam Reserve; towed 5.1858 to Portsmouth; stored in
Haslar gunboat shed from 14.5.1858. BU 30.4.1864 at Haslar.</t>
    <phoneticPr fontId="1"/>
  </si>
  <si>
    <t>CLOWN</t>
    <phoneticPr fontId="1"/>
  </si>
  <si>
    <t>Garnet</t>
    <phoneticPr fontId="1"/>
  </si>
  <si>
    <t>Garnet W. &amp; H. Pitcher, Northfleet/John Penn &amp; Sons
Ord: 31.12.1855. K: 5.3.1 856. L: 31 .5.1856. C: 26.1.1857.
First cost: £8,264 (including £4,769 for hull, £2,374 for machinery).
Never commissoned; towed 1.1857 to Portsmouth, where remained incomplete; stored in Haslar gunboat
shed from 13.2.1857. BU completed 25.5.1864.</t>
    <phoneticPr fontId="1"/>
  </si>
  <si>
    <t>Hunter</t>
    <phoneticPr fontId="1"/>
  </si>
  <si>
    <t>Hunter W. &amp; H. Pitcher, Northfleet/John Penn &amp; Sons
Ord: 31.12.1855. K: 12.3.1856. L: 7.6.1856. C: 26.1.1 857. Only partially fitted, never completed for sea.
First cost: £8,443 (including £4,798 for hull, £2,374 for machinery).
Never commissoned; towed 1.1857 to Portsmouth, where remained incomplete; stored in Haslar gunboat
shed from 13.2.1857; launched from yard 1865 for Steam Reserve. On the sale list 6.1883 and sold
1884.</t>
    <phoneticPr fontId="1"/>
  </si>
  <si>
    <t>ALGERINE</t>
    <phoneticPr fontId="1"/>
  </si>
  <si>
    <t>Slaney</t>
    <phoneticPr fontId="1"/>
  </si>
  <si>
    <t>Slaney W. &amp; H. Pitcher, Northfleet
Ord: 22.9.1856. K: 1 .10.1856. L: 17.3.1857. C: 1 8.3- 27.4.1857 (for sea) at Woolwich Dyd.
First cost: £13,970 (including £5,549 for hull, £4,350 for machinery).
Commissioned 26.3.1857 under Lieut Anthony Hiley Hoskins, for East Indies and China; on 2.1859 under
Lieut Henry Knox Leet, then 1.5.1860 Lieut George Dacres Bevan. In 10.1864 under Lieut John Smith
Keats, on China station, then 4.1866 Lieut William Francis Leoline Elwyn; wrecked in a typhoon
9.5.1870 on the Paracel Islands (south of Hong Kong).</t>
    <phoneticPr fontId="1"/>
  </si>
  <si>
    <t>BRITOMART</t>
    <phoneticPr fontId="1"/>
  </si>
  <si>
    <t>Dotterel</t>
    <phoneticPr fontId="1"/>
  </si>
  <si>
    <t>Dotterel William Cowley Miller, Toxteth Dock, Liverpool
Ord: 1 9.1 0.1 859. K: 15.1 1 .1 859. L: 5.7.1 860. C: -
..
Commissioned 25.9.1861 under Lieut Benjamin Langlois Lefroy; on 19.10 .1 861 under Lieut William Frederick
Irwin, for South America; on 22.4.1 862 under Lieut William ?Frederick Johnson, then 1 2.4.1 865
under Lieut Robert Elliot, 25.4.1 866 under Lieut Robert Henry Thompson, and 8.6.1867 under Lieut
William Scott; home and paid off 16.9.1 868. Sold to Marshall, Plymouth on 6.6.1871.</t>
    <phoneticPr fontId="1"/>
  </si>
  <si>
    <t>Minstrel</t>
    <phoneticPr fontId="1"/>
  </si>
  <si>
    <t>Minstrel Portsmouth Dyd
Ord: 5.3.1 860. K: 1 7.12.1860. L: 1 6.2.1865. C: 1 866.
Commissioned 14.4.1866 under Lieut Mervyn Bradford Med lycott, for North America and the West Indies;
on 20.2.1 869 under Lieut Noel Stephen Fox Digby, then 27.4.1 869 under Lieut Harry F. Yeatman, and
4.7.1 872 under Lieut William Parsons; paid off 30.6.1873 at Bermuda. Coal hulk in 1 874. Sold 1 903
(but still listed to 1 906).</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</si>
</sst>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C0656-4D63-8748-A9FC-158FC4C13FD0}">
  <dimension ref="A1:H36"/>
  <sheetViews>
    <sheetView tabSelected="1" workbookViewId="0">
      <selection activeCell="A38" sqref="A38"/>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0</v>
      </c>
      <c r="B1" t="s">
        <v>1</v>
      </c>
      <c r="C1" t="s">
        <v>2</v>
      </c>
      <c r="D1" t="s">
        <v>3</v>
      </c>
      <c r="E1" t="s">
        <v>4</v>
      </c>
      <c r="F1" t="s">
        <v>5</v>
      </c>
      <c r="G1" t="s">
        <v>6</v>
      </c>
      <c r="H1" t="s">
        <v>7</v>
      </c>
    </row>
    <row r="2" spans="1:8" ht="252">
      <c r="A2" t="s">
        <v>8</v>
      </c>
      <c r="B2" t="s">
        <v>9</v>
      </c>
      <c r="C2">
        <v>1</v>
      </c>
      <c r="D2">
        <v>4</v>
      </c>
      <c r="E2" t="s">
        <v>10</v>
      </c>
      <c r="F2" t="s">
        <v>11</v>
      </c>
      <c r="G2" t="str">
        <f t="shared" ref="G2:G36" si="0">_xlfn.CONCAT("myData:", B2, "_", TEXT(D2, "0000"))</f>
        <v>myData:SCGVG_0004</v>
      </c>
      <c r="H2" s="1" t="s">
        <v>12</v>
      </c>
    </row>
    <row r="3" spans="1:8" ht="126">
      <c r="A3" t="s">
        <v>8</v>
      </c>
      <c r="B3" t="s">
        <v>9</v>
      </c>
      <c r="C3">
        <v>2</v>
      </c>
      <c r="D3">
        <v>13</v>
      </c>
      <c r="E3" t="s">
        <v>13</v>
      </c>
      <c r="F3" t="s">
        <v>14</v>
      </c>
      <c r="G3" t="str">
        <f t="shared" si="0"/>
        <v>myData:SCGVG_0013</v>
      </c>
      <c r="H3" s="1" t="s">
        <v>15</v>
      </c>
    </row>
    <row r="4" spans="1:8" ht="147">
      <c r="A4" t="s">
        <v>8</v>
      </c>
      <c r="B4" t="s">
        <v>9</v>
      </c>
      <c r="C4">
        <v>3</v>
      </c>
      <c r="D4">
        <v>16</v>
      </c>
      <c r="E4" t="s">
        <v>13</v>
      </c>
      <c r="F4" t="s">
        <v>16</v>
      </c>
      <c r="G4" t="str">
        <f t="shared" si="0"/>
        <v>myData:SCGVG_0016</v>
      </c>
      <c r="H4" s="1" t="s">
        <v>17</v>
      </c>
    </row>
    <row r="5" spans="1:8" ht="189">
      <c r="A5" t="s">
        <v>8</v>
      </c>
      <c r="B5" t="s">
        <v>9</v>
      </c>
      <c r="C5">
        <v>4</v>
      </c>
      <c r="D5">
        <v>20</v>
      </c>
      <c r="E5" t="s">
        <v>13</v>
      </c>
      <c r="F5" t="s">
        <v>18</v>
      </c>
      <c r="G5" t="str">
        <f t="shared" si="0"/>
        <v>myData:SCGVG_0020</v>
      </c>
      <c r="H5" s="1" t="s">
        <v>19</v>
      </c>
    </row>
    <row r="6" spans="1:8" ht="168">
      <c r="A6" t="s">
        <v>8</v>
      </c>
      <c r="B6" t="s">
        <v>9</v>
      </c>
      <c r="C6">
        <v>5</v>
      </c>
      <c r="D6">
        <v>24</v>
      </c>
      <c r="E6" t="s">
        <v>13</v>
      </c>
      <c r="F6" t="s">
        <v>20</v>
      </c>
      <c r="G6" t="str">
        <f t="shared" si="0"/>
        <v>myData:SCGVG_0024</v>
      </c>
      <c r="H6" s="1" t="s">
        <v>21</v>
      </c>
    </row>
    <row r="7" spans="1:8" ht="189">
      <c r="A7" t="s">
        <v>8</v>
      </c>
      <c r="B7" t="s">
        <v>9</v>
      </c>
      <c r="C7">
        <v>6</v>
      </c>
      <c r="D7">
        <v>26</v>
      </c>
      <c r="E7" t="s">
        <v>22</v>
      </c>
      <c r="F7" t="s">
        <v>23</v>
      </c>
      <c r="G7" t="str">
        <f t="shared" si="0"/>
        <v>myData:SCGVG_0026</v>
      </c>
      <c r="H7" s="1" t="s">
        <v>24</v>
      </c>
    </row>
    <row r="8" spans="1:8" ht="147">
      <c r="A8" t="s">
        <v>8</v>
      </c>
      <c r="B8" t="s">
        <v>9</v>
      </c>
      <c r="C8">
        <v>7</v>
      </c>
      <c r="D8">
        <v>28</v>
      </c>
      <c r="E8" t="s">
        <v>22</v>
      </c>
      <c r="F8" t="s">
        <v>25</v>
      </c>
      <c r="G8" t="str">
        <f t="shared" si="0"/>
        <v>myData:SCGVG_0028</v>
      </c>
      <c r="H8" s="1" t="s">
        <v>26</v>
      </c>
    </row>
    <row r="9" spans="1:8" ht="189">
      <c r="A9" t="s">
        <v>8</v>
      </c>
      <c r="B9" t="s">
        <v>9</v>
      </c>
      <c r="C9">
        <v>8</v>
      </c>
      <c r="D9">
        <v>36</v>
      </c>
      <c r="E9" t="s">
        <v>27</v>
      </c>
      <c r="F9" t="s">
        <v>28</v>
      </c>
      <c r="G9" t="str">
        <f t="shared" si="0"/>
        <v>myData:SCGVG_0036</v>
      </c>
      <c r="H9" s="1" t="s">
        <v>29</v>
      </c>
    </row>
    <row r="10" spans="1:8" ht="126">
      <c r="A10" t="s">
        <v>8</v>
      </c>
      <c r="B10" t="s">
        <v>9</v>
      </c>
      <c r="C10">
        <v>9</v>
      </c>
      <c r="D10">
        <v>43</v>
      </c>
      <c r="E10" t="s">
        <v>27</v>
      </c>
      <c r="F10" t="s">
        <v>30</v>
      </c>
      <c r="G10" t="str">
        <f t="shared" si="0"/>
        <v>myData:SCGVG_0043</v>
      </c>
      <c r="H10" s="1" t="s">
        <v>31</v>
      </c>
    </row>
    <row r="11" spans="1:8" ht="147">
      <c r="A11" t="s">
        <v>8</v>
      </c>
      <c r="B11" t="s">
        <v>9</v>
      </c>
      <c r="C11">
        <v>10</v>
      </c>
      <c r="D11">
        <v>47</v>
      </c>
      <c r="E11" t="s">
        <v>27</v>
      </c>
      <c r="F11" t="s">
        <v>32</v>
      </c>
      <c r="G11" t="str">
        <f t="shared" si="0"/>
        <v>myData:SCGVG_0047</v>
      </c>
      <c r="H11" s="1" t="s">
        <v>33</v>
      </c>
    </row>
    <row r="12" spans="1:8" ht="147">
      <c r="A12" t="s">
        <v>8</v>
      </c>
      <c r="B12" t="s">
        <v>9</v>
      </c>
      <c r="C12">
        <v>11</v>
      </c>
      <c r="D12">
        <v>49</v>
      </c>
      <c r="E12" t="s">
        <v>27</v>
      </c>
      <c r="F12" t="s">
        <v>34</v>
      </c>
      <c r="G12" t="str">
        <f t="shared" si="0"/>
        <v>myData:SCGVG_0049</v>
      </c>
      <c r="H12" s="1" t="s">
        <v>35</v>
      </c>
    </row>
    <row r="13" spans="1:8" ht="147">
      <c r="A13" t="s">
        <v>8</v>
      </c>
      <c r="B13" t="s">
        <v>9</v>
      </c>
      <c r="C13">
        <v>12</v>
      </c>
      <c r="D13">
        <v>50</v>
      </c>
      <c r="E13" t="s">
        <v>27</v>
      </c>
      <c r="F13" t="s">
        <v>36</v>
      </c>
      <c r="G13" t="str">
        <f t="shared" si="0"/>
        <v>myData:SCGVG_0050</v>
      </c>
      <c r="H13" s="1" t="s">
        <v>37</v>
      </c>
    </row>
    <row r="14" spans="1:8" ht="126">
      <c r="A14" t="s">
        <v>8</v>
      </c>
      <c r="B14" t="s">
        <v>9</v>
      </c>
      <c r="C14">
        <v>13</v>
      </c>
      <c r="D14">
        <v>61</v>
      </c>
      <c r="E14" t="s">
        <v>38</v>
      </c>
      <c r="F14" t="s">
        <v>39</v>
      </c>
      <c r="G14" t="str">
        <f t="shared" si="0"/>
        <v>myData:SCGVG_0061</v>
      </c>
      <c r="H14" s="1" t="s">
        <v>40</v>
      </c>
    </row>
    <row r="15" spans="1:8" ht="147">
      <c r="A15" t="s">
        <v>8</v>
      </c>
      <c r="B15" t="s">
        <v>9</v>
      </c>
      <c r="C15">
        <v>14</v>
      </c>
      <c r="D15">
        <v>64</v>
      </c>
      <c r="E15" t="s">
        <v>38</v>
      </c>
      <c r="F15" t="s">
        <v>41</v>
      </c>
      <c r="G15" t="str">
        <f t="shared" si="0"/>
        <v>myData:SCGVG_0064</v>
      </c>
      <c r="H15" s="1" t="s">
        <v>42</v>
      </c>
    </row>
    <row r="16" spans="1:8" ht="126">
      <c r="A16" t="s">
        <v>8</v>
      </c>
      <c r="B16" t="s">
        <v>9</v>
      </c>
      <c r="C16">
        <v>15</v>
      </c>
      <c r="D16">
        <v>72</v>
      </c>
      <c r="E16" t="s">
        <v>43</v>
      </c>
      <c r="F16" t="s">
        <v>44</v>
      </c>
      <c r="G16" t="str">
        <f t="shared" si="0"/>
        <v>myData:SCGVG_0072</v>
      </c>
      <c r="H16" s="1" t="s">
        <v>45</v>
      </c>
    </row>
    <row r="17" spans="1:8" ht="168">
      <c r="A17" t="s">
        <v>8</v>
      </c>
      <c r="B17" t="s">
        <v>9</v>
      </c>
      <c r="C17">
        <v>16</v>
      </c>
      <c r="D17">
        <v>87</v>
      </c>
      <c r="E17" t="s">
        <v>46</v>
      </c>
      <c r="F17" t="s">
        <v>47</v>
      </c>
      <c r="G17" t="str">
        <f t="shared" si="0"/>
        <v>myData:SCGVG_0087</v>
      </c>
      <c r="H17" s="1" t="s">
        <v>48</v>
      </c>
    </row>
    <row r="18" spans="1:8" ht="168">
      <c r="A18" t="s">
        <v>8</v>
      </c>
      <c r="B18" t="s">
        <v>9</v>
      </c>
      <c r="C18">
        <v>17</v>
      </c>
      <c r="D18">
        <v>104</v>
      </c>
      <c r="E18" t="s">
        <v>46</v>
      </c>
      <c r="F18" t="s">
        <v>49</v>
      </c>
      <c r="G18" t="str">
        <f t="shared" si="0"/>
        <v>myData:SCGVG_0104</v>
      </c>
      <c r="H18" s="1" t="s">
        <v>50</v>
      </c>
    </row>
    <row r="19" spans="1:8" ht="168">
      <c r="A19" t="s">
        <v>8</v>
      </c>
      <c r="B19" t="s">
        <v>9</v>
      </c>
      <c r="C19">
        <v>18</v>
      </c>
      <c r="D19">
        <v>109</v>
      </c>
      <c r="E19" t="s">
        <v>46</v>
      </c>
      <c r="F19" t="s">
        <v>51</v>
      </c>
      <c r="G19" t="str">
        <f t="shared" si="0"/>
        <v>myData:SCGVG_0109</v>
      </c>
      <c r="H19" s="1" t="s">
        <v>52</v>
      </c>
    </row>
    <row r="20" spans="1:8" ht="168">
      <c r="A20" t="s">
        <v>8</v>
      </c>
      <c r="B20" t="s">
        <v>9</v>
      </c>
      <c r="C20">
        <v>19</v>
      </c>
      <c r="D20">
        <v>114</v>
      </c>
      <c r="E20" t="s">
        <v>46</v>
      </c>
      <c r="F20" t="s">
        <v>53</v>
      </c>
      <c r="G20" t="str">
        <f t="shared" si="0"/>
        <v>myData:SCGVG_0114</v>
      </c>
      <c r="H20" s="1" t="s">
        <v>54</v>
      </c>
    </row>
    <row r="21" spans="1:8" ht="189">
      <c r="A21" t="s">
        <v>8</v>
      </c>
      <c r="B21" t="s">
        <v>9</v>
      </c>
      <c r="C21">
        <v>20</v>
      </c>
      <c r="D21">
        <v>115</v>
      </c>
      <c r="E21" t="s">
        <v>46</v>
      </c>
      <c r="F21" t="s">
        <v>55</v>
      </c>
      <c r="G21" t="str">
        <f t="shared" si="0"/>
        <v>myData:SCGVG_0115</v>
      </c>
      <c r="H21" s="1" t="s">
        <v>56</v>
      </c>
    </row>
    <row r="22" spans="1:8" ht="147">
      <c r="A22" t="s">
        <v>8</v>
      </c>
      <c r="B22" t="s">
        <v>9</v>
      </c>
      <c r="C22">
        <v>21</v>
      </c>
      <c r="D22">
        <v>119</v>
      </c>
      <c r="E22" t="s">
        <v>46</v>
      </c>
      <c r="F22" t="s">
        <v>57</v>
      </c>
      <c r="G22" t="str">
        <f t="shared" si="0"/>
        <v>myData:SCGVG_0119</v>
      </c>
      <c r="H22" s="1" t="s">
        <v>58</v>
      </c>
    </row>
    <row r="23" spans="1:8" ht="105">
      <c r="A23" t="s">
        <v>8</v>
      </c>
      <c r="B23" t="s">
        <v>9</v>
      </c>
      <c r="C23">
        <v>22</v>
      </c>
      <c r="D23">
        <v>138</v>
      </c>
      <c r="E23" t="s">
        <v>46</v>
      </c>
      <c r="F23" t="s">
        <v>59</v>
      </c>
      <c r="G23" t="str">
        <f t="shared" si="0"/>
        <v>myData:SCGVG_0138</v>
      </c>
      <c r="H23" s="1" t="s">
        <v>60</v>
      </c>
    </row>
    <row r="24" spans="1:8" ht="105">
      <c r="A24" t="s">
        <v>8</v>
      </c>
      <c r="B24" t="s">
        <v>9</v>
      </c>
      <c r="C24">
        <v>23</v>
      </c>
      <c r="D24">
        <v>139</v>
      </c>
      <c r="E24" t="s">
        <v>46</v>
      </c>
      <c r="F24" t="s">
        <v>61</v>
      </c>
      <c r="G24" t="str">
        <f t="shared" si="0"/>
        <v>myData:SCGVG_0139</v>
      </c>
      <c r="H24" s="1" t="s">
        <v>62</v>
      </c>
    </row>
    <row r="25" spans="1:8" ht="168">
      <c r="A25" t="s">
        <v>8</v>
      </c>
      <c r="B25" t="s">
        <v>9</v>
      </c>
      <c r="C25">
        <v>24</v>
      </c>
      <c r="D25">
        <v>141</v>
      </c>
      <c r="E25" t="s">
        <v>46</v>
      </c>
      <c r="F25" t="s">
        <v>63</v>
      </c>
      <c r="G25" t="str">
        <f t="shared" si="0"/>
        <v>myData:SCGVG_0141</v>
      </c>
      <c r="H25" s="1" t="s">
        <v>64</v>
      </c>
    </row>
    <row r="26" spans="1:8" ht="189">
      <c r="A26" t="s">
        <v>8</v>
      </c>
      <c r="B26" t="s">
        <v>9</v>
      </c>
      <c r="C26">
        <v>25</v>
      </c>
      <c r="D26">
        <v>166</v>
      </c>
      <c r="E26" t="s">
        <v>46</v>
      </c>
      <c r="F26" t="s">
        <v>65</v>
      </c>
      <c r="G26" t="str">
        <f t="shared" si="0"/>
        <v>myData:SCGVG_0166</v>
      </c>
      <c r="H26" s="1" t="s">
        <v>66</v>
      </c>
    </row>
    <row r="27" spans="1:8" ht="189">
      <c r="A27" t="s">
        <v>8</v>
      </c>
      <c r="B27" t="s">
        <v>9</v>
      </c>
      <c r="C27">
        <v>26</v>
      </c>
      <c r="D27">
        <v>167</v>
      </c>
      <c r="E27" t="s">
        <v>46</v>
      </c>
      <c r="F27" t="s">
        <v>67</v>
      </c>
      <c r="G27" t="str">
        <f t="shared" si="0"/>
        <v>myData:SCGVG_0167</v>
      </c>
      <c r="H27" s="1" t="s">
        <v>68</v>
      </c>
    </row>
    <row r="28" spans="1:8" ht="105">
      <c r="A28" t="s">
        <v>8</v>
      </c>
      <c r="B28" t="s">
        <v>9</v>
      </c>
      <c r="C28">
        <v>27</v>
      </c>
      <c r="D28">
        <v>168</v>
      </c>
      <c r="E28" t="s">
        <v>46</v>
      </c>
      <c r="F28" t="s">
        <v>69</v>
      </c>
      <c r="G28" t="str">
        <f t="shared" si="0"/>
        <v>myData:SCGVG_0168</v>
      </c>
      <c r="H28" s="1" t="s">
        <v>70</v>
      </c>
    </row>
    <row r="29" spans="1:8" ht="147">
      <c r="A29" t="s">
        <v>8</v>
      </c>
      <c r="B29" t="s">
        <v>9</v>
      </c>
      <c r="C29">
        <v>28</v>
      </c>
      <c r="D29">
        <v>173</v>
      </c>
      <c r="E29" t="s">
        <v>46</v>
      </c>
      <c r="F29" t="s">
        <v>71</v>
      </c>
      <c r="G29" t="str">
        <f t="shared" si="0"/>
        <v>myData:SCGVG_0173</v>
      </c>
      <c r="H29" s="1" t="s">
        <v>72</v>
      </c>
    </row>
    <row r="30" spans="1:8" ht="105">
      <c r="A30" t="s">
        <v>8</v>
      </c>
      <c r="B30" t="s">
        <v>9</v>
      </c>
      <c r="C30">
        <v>29</v>
      </c>
      <c r="D30">
        <v>187</v>
      </c>
      <c r="E30" t="s">
        <v>73</v>
      </c>
      <c r="F30" t="s">
        <v>74</v>
      </c>
      <c r="G30" t="str">
        <f t="shared" si="0"/>
        <v>myData:SCGVG_0187</v>
      </c>
      <c r="H30" s="1" t="s">
        <v>75</v>
      </c>
    </row>
    <row r="31" spans="1:8" ht="105">
      <c r="A31" t="s">
        <v>8</v>
      </c>
      <c r="B31" t="s">
        <v>9</v>
      </c>
      <c r="C31">
        <v>30</v>
      </c>
      <c r="D31">
        <v>193</v>
      </c>
      <c r="E31" t="s">
        <v>73</v>
      </c>
      <c r="F31" t="s">
        <v>76</v>
      </c>
      <c r="G31" t="str">
        <f t="shared" si="0"/>
        <v>myData:SCGVG_0193</v>
      </c>
      <c r="H31" s="1" t="s">
        <v>77</v>
      </c>
    </row>
    <row r="32" spans="1:8" ht="105">
      <c r="A32" t="s">
        <v>8</v>
      </c>
      <c r="B32" t="s">
        <v>9</v>
      </c>
      <c r="C32">
        <v>31</v>
      </c>
      <c r="D32">
        <v>205</v>
      </c>
      <c r="E32" t="s">
        <v>78</v>
      </c>
      <c r="F32" t="s">
        <v>79</v>
      </c>
      <c r="G32" t="str">
        <f t="shared" si="0"/>
        <v>myData:SCGVG_0205</v>
      </c>
      <c r="H32" s="1" t="s">
        <v>80</v>
      </c>
    </row>
    <row r="33" spans="1:8" ht="126">
      <c r="A33" t="s">
        <v>8</v>
      </c>
      <c r="B33" t="s">
        <v>9</v>
      </c>
      <c r="C33">
        <v>32</v>
      </c>
      <c r="D33">
        <v>207</v>
      </c>
      <c r="E33" t="s">
        <v>78</v>
      </c>
      <c r="F33" t="s">
        <v>81</v>
      </c>
      <c r="G33" t="str">
        <f t="shared" si="0"/>
        <v>myData:SCGVG_0207</v>
      </c>
      <c r="H33" s="1" t="s">
        <v>82</v>
      </c>
    </row>
    <row r="34" spans="1:8" ht="147">
      <c r="A34" t="s">
        <v>8</v>
      </c>
      <c r="B34" t="s">
        <v>9</v>
      </c>
      <c r="C34">
        <v>33</v>
      </c>
      <c r="D34">
        <v>221</v>
      </c>
      <c r="E34" t="s">
        <v>83</v>
      </c>
      <c r="F34" t="s">
        <v>84</v>
      </c>
      <c r="G34" t="str">
        <f t="shared" si="0"/>
        <v>myData:SCGVG_0221</v>
      </c>
      <c r="H34" s="1" t="s">
        <v>85</v>
      </c>
    </row>
    <row r="35" spans="1:8" ht="147">
      <c r="A35" t="s">
        <v>8</v>
      </c>
      <c r="B35" t="s">
        <v>9</v>
      </c>
      <c r="C35">
        <v>34</v>
      </c>
      <c r="D35">
        <v>226</v>
      </c>
      <c r="E35" t="s">
        <v>86</v>
      </c>
      <c r="F35" t="s">
        <v>87</v>
      </c>
      <c r="G35" t="str">
        <f t="shared" si="0"/>
        <v>myData:SCGVG_0226</v>
      </c>
      <c r="H35" s="1" t="s">
        <v>88</v>
      </c>
    </row>
    <row r="36" spans="1:8" ht="126">
      <c r="A36" t="s">
        <v>8</v>
      </c>
      <c r="B36" t="s">
        <v>9</v>
      </c>
      <c r="C36">
        <v>35</v>
      </c>
      <c r="D36">
        <v>234</v>
      </c>
      <c r="E36" t="s">
        <v>86</v>
      </c>
      <c r="F36" t="s">
        <v>89</v>
      </c>
      <c r="G36" t="str">
        <f t="shared" si="0"/>
        <v>myData:SCGVG_0234</v>
      </c>
      <c r="H36" s="1" t="s">
        <v>90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2025-11-10T05:43:12Z</dcterms:created>
  <dcterms:modified xsi:type="dcterms:W3CDTF">2025-11-10T05:44:05Z</dcterms:modified>
</cp:coreProperties>
</file>